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1FFE7F7F-D972-468A-8915-2E7C5004C8A4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I3" i="1"/>
  <c r="J3" i="1" s="1"/>
  <c r="I4" i="1"/>
  <c r="J4" i="1" s="1"/>
  <c r="I5" i="1"/>
  <c r="J5" i="1" s="1"/>
  <c r="I6" i="1"/>
  <c r="J6" i="1" s="1"/>
  <c r="I7" i="1"/>
  <c r="J7" i="1" s="1"/>
  <c r="O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2" i="1"/>
  <c r="J2" i="1" s="1"/>
  <c r="N10" i="1" l="1"/>
  <c r="O10" i="1"/>
  <c r="N5" i="1"/>
  <c r="O5" i="1"/>
  <c r="N13" i="1"/>
  <c r="K13" i="1"/>
  <c r="O13" i="1"/>
  <c r="K9" i="1"/>
  <c r="O9" i="1"/>
  <c r="N9" i="1"/>
  <c r="O12" i="1"/>
  <c r="K12" i="1"/>
  <c r="N12" i="1"/>
  <c r="N8" i="1"/>
  <c r="K8" i="1"/>
  <c r="O8" i="1"/>
  <c r="N3" i="1"/>
  <c r="K3" i="1"/>
  <c r="O3" i="1"/>
  <c r="K2" i="1"/>
  <c r="O2" i="1"/>
  <c r="N2" i="1"/>
  <c r="K10" i="1"/>
  <c r="K5" i="1"/>
  <c r="N7" i="1"/>
  <c r="K7" i="1"/>
  <c r="N11" i="1"/>
  <c r="O11" i="1"/>
  <c r="K11" i="1"/>
  <c r="N4" i="1"/>
  <c r="O4" i="1"/>
  <c r="K4" i="1"/>
  <c r="K6" i="1"/>
  <c r="N6" i="1"/>
  <c r="O6" i="1"/>
</calcChain>
</file>

<file path=xl/sharedStrings.xml><?xml version="1.0" encoding="utf-8"?>
<sst xmlns="http://schemas.openxmlformats.org/spreadsheetml/2006/main" count="63" uniqueCount="44">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</sst>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O13"/>
  <sheetViews>
    <sheetView tabSelected="1" workbookViewId="0">
      <selection activeCell="K16" sqref="K16"/>
    </sheetView>
  </sheetViews>
  <sheetFormatPr defaultRowHeight="14.4" x14ac:dyDescent="0.3"/>
  <cols>
    <col min="4" max="4" width="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41</v>
      </c>
      <c r="M1" t="s">
        <v>40</v>
      </c>
      <c r="N1" t="s">
        <v>42</v>
      </c>
      <c r="O1" t="s">
        <v>43</v>
      </c>
    </row>
    <row r="2" spans="1:15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  <c r="N2" t="str">
        <f>IF(J2&gt;50,"Pass","Fail")</f>
        <v>Pass</v>
      </c>
      <c r="O2" t="str">
        <f>IF(J2&gt;=90,"A",IF(J2&gt;=75,"B",IF(J2&gt;=60,"C","D")))</f>
        <v>B</v>
      </c>
    </row>
    <row r="3" spans="1:15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  <c r="L3">
        <f t="shared" ref="L3:L13" si="3">MIN(E3:G3)</f>
        <v>88</v>
      </c>
      <c r="M3">
        <f t="shared" ref="M3:M13" si="4">MAX(E3:G3)</f>
        <v>91</v>
      </c>
      <c r="N3" t="str">
        <f t="shared" ref="N3:N13" si="5">IF(J3&gt;50,"Pass","Fail")</f>
        <v>Pass</v>
      </c>
      <c r="O3" t="str">
        <f t="shared" ref="O3:O13" si="6">IF(J3&gt;=90,"A",IF(J3&gt;=75,"B",IF(J3&gt;=60,"C","D")))</f>
        <v>B</v>
      </c>
    </row>
    <row r="4" spans="1:15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48</v>
      </c>
      <c r="G4">
        <v>68</v>
      </c>
      <c r="H4">
        <v>80</v>
      </c>
      <c r="I4">
        <f t="shared" si="0"/>
        <v>181</v>
      </c>
      <c r="J4">
        <f t="shared" si="1"/>
        <v>60.333333333333336</v>
      </c>
      <c r="K4">
        <f t="shared" si="2"/>
        <v>60</v>
      </c>
      <c r="L4">
        <f t="shared" si="3"/>
        <v>48</v>
      </c>
      <c r="M4">
        <f t="shared" si="4"/>
        <v>68</v>
      </c>
      <c r="N4" t="str">
        <f t="shared" si="5"/>
        <v>Pass</v>
      </c>
      <c r="O4" t="str">
        <f t="shared" si="6"/>
        <v>C</v>
      </c>
    </row>
    <row r="5" spans="1:15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  <c r="L5">
        <f t="shared" si="3"/>
        <v>88</v>
      </c>
      <c r="M5">
        <f t="shared" si="4"/>
        <v>94</v>
      </c>
      <c r="N5" t="str">
        <f t="shared" si="5"/>
        <v>Pass</v>
      </c>
      <c r="O5" t="str">
        <f t="shared" si="6"/>
        <v>A</v>
      </c>
    </row>
    <row r="6" spans="1:15" x14ac:dyDescent="0.3">
      <c r="A6" t="s">
        <v>12</v>
      </c>
      <c r="B6" t="s">
        <v>24</v>
      </c>
      <c r="C6" t="s">
        <v>32</v>
      </c>
      <c r="D6" t="s">
        <v>34</v>
      </c>
      <c r="E6">
        <v>45</v>
      </c>
      <c r="F6">
        <v>60</v>
      </c>
      <c r="G6">
        <v>58</v>
      </c>
      <c r="H6">
        <v>72</v>
      </c>
      <c r="I6">
        <f t="shared" si="0"/>
        <v>163</v>
      </c>
      <c r="J6">
        <f t="shared" si="1"/>
        <v>54.333333333333336</v>
      </c>
      <c r="K6">
        <f t="shared" si="2"/>
        <v>54</v>
      </c>
      <c r="L6">
        <f t="shared" si="3"/>
        <v>45</v>
      </c>
      <c r="M6">
        <f t="shared" si="4"/>
        <v>60</v>
      </c>
      <c r="N6" t="str">
        <f t="shared" si="5"/>
        <v>Pass</v>
      </c>
      <c r="O6" t="str">
        <f t="shared" si="6"/>
        <v>D</v>
      </c>
    </row>
    <row r="7" spans="1:15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  <c r="L7">
        <f t="shared" si="3"/>
        <v>79</v>
      </c>
      <c r="M7">
        <f t="shared" si="4"/>
        <v>85</v>
      </c>
      <c r="N7" t="str">
        <f t="shared" si="5"/>
        <v>Pass</v>
      </c>
      <c r="O7" t="str">
        <f t="shared" si="6"/>
        <v>B</v>
      </c>
    </row>
    <row r="8" spans="1:15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  <c r="L8">
        <f t="shared" si="3"/>
        <v>40</v>
      </c>
      <c r="M8">
        <f t="shared" si="4"/>
        <v>59</v>
      </c>
      <c r="N8" t="str">
        <f t="shared" si="5"/>
        <v>Fail</v>
      </c>
      <c r="O8" t="str">
        <f t="shared" si="6"/>
        <v>D</v>
      </c>
    </row>
    <row r="9" spans="1:15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  <c r="L9">
        <f t="shared" si="3"/>
        <v>65</v>
      </c>
      <c r="M9">
        <f t="shared" si="4"/>
        <v>76</v>
      </c>
      <c r="N9" t="str">
        <f t="shared" si="5"/>
        <v>Pass</v>
      </c>
      <c r="O9" t="str">
        <f t="shared" si="6"/>
        <v>C</v>
      </c>
    </row>
    <row r="10" spans="1:15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  <c r="L10">
        <f t="shared" si="3"/>
        <v>89</v>
      </c>
      <c r="M10">
        <f t="shared" si="4"/>
        <v>92</v>
      </c>
      <c r="N10" t="str">
        <f t="shared" si="5"/>
        <v>Pass</v>
      </c>
      <c r="O10" t="str">
        <f t="shared" si="6"/>
        <v>A</v>
      </c>
    </row>
    <row r="11" spans="1:15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36</v>
      </c>
      <c r="H11">
        <v>85</v>
      </c>
      <c r="I11">
        <f t="shared" si="0"/>
        <v>192</v>
      </c>
      <c r="J11">
        <f t="shared" si="1"/>
        <v>64</v>
      </c>
      <c r="K11">
        <f t="shared" si="2"/>
        <v>64</v>
      </c>
      <c r="L11">
        <f t="shared" si="3"/>
        <v>36</v>
      </c>
      <c r="M11">
        <f t="shared" si="4"/>
        <v>89</v>
      </c>
      <c r="N11" t="str">
        <f t="shared" si="5"/>
        <v>Pass</v>
      </c>
      <c r="O11" t="str">
        <f t="shared" si="6"/>
        <v>C</v>
      </c>
    </row>
    <row r="12" spans="1:15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  <c r="L12">
        <f t="shared" si="3"/>
        <v>59</v>
      </c>
      <c r="M12">
        <f t="shared" si="4"/>
        <v>72</v>
      </c>
      <c r="N12" t="str">
        <f t="shared" si="5"/>
        <v>Pass</v>
      </c>
      <c r="O12" t="str">
        <f t="shared" si="6"/>
        <v>C</v>
      </c>
    </row>
    <row r="13" spans="1:15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  <c r="L13">
        <f t="shared" si="3"/>
        <v>84</v>
      </c>
      <c r="M13">
        <f t="shared" si="4"/>
        <v>88</v>
      </c>
      <c r="N13" t="str">
        <f t="shared" si="5"/>
        <v>Pass</v>
      </c>
      <c r="O13" t="str">
        <f t="shared" si="6"/>
        <v>B</v>
      </c>
    </row>
  </sheetData>
  <phoneticPr fontId="1" type="noConversion"/>
  <conditionalFormatting sqref="E1:G13">
    <cfRule type="cellIs" dxfId="4" priority="3" operator="lessThan">
      <formula>50</formula>
    </cfRule>
  </conditionalFormatting>
  <conditionalFormatting sqref="H1">
    <cfRule type="cellIs" dxfId="3" priority="2" operator="lessThan">
      <formula>75</formula>
    </cfRule>
  </conditionalFormatting>
  <conditionalFormatting sqref="H1:H13">
    <cfRule type="cellIs" dxfId="0" priority="1" operator="less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2026-01-20T15:26:41Z</dcterms:modified>
</cp:coreProperties>
</file>