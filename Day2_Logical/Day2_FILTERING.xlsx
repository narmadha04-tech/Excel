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13_ncr:1_{D44A2CEF-C7FA-4D7C-98DA-A596439B71B7}" xr6:coauthVersionLast="47" xr6:coauthVersionMax="47" xr10:uidLastSave="{00000000-0000-0000-0000-000000000000}"/>
  <bookViews>
    <workbookView xWindow="-108" yWindow="-108" windowWidth="23256" windowHeight="13176" xr2:uid="{589EBCD1-707E-497B-A864-66EF074B5B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2" i="1"/>
  <c r="R3" i="1"/>
  <c r="R4" i="1"/>
  <c r="R5" i="1"/>
  <c r="R6" i="1"/>
  <c r="R7" i="1"/>
  <c r="R8" i="1"/>
  <c r="R9" i="1"/>
  <c r="R10" i="1"/>
  <c r="R11" i="1"/>
  <c r="R12" i="1"/>
  <c r="R13" i="1"/>
  <c r="R2" i="1"/>
  <c r="Q3" i="1"/>
  <c r="Q4" i="1"/>
  <c r="Q5" i="1"/>
  <c r="Q6" i="1"/>
  <c r="Q7" i="1"/>
  <c r="Q8" i="1"/>
  <c r="Q9" i="1"/>
  <c r="Q10" i="1"/>
  <c r="Q11" i="1"/>
  <c r="Q12" i="1"/>
  <c r="Q13" i="1"/>
  <c r="Q2" i="1"/>
  <c r="L3" i="1"/>
  <c r="L4" i="1"/>
  <c r="L5" i="1"/>
  <c r="L6" i="1"/>
  <c r="L7" i="1"/>
  <c r="L8" i="1"/>
  <c r="L9" i="1"/>
  <c r="L10" i="1"/>
  <c r="L11" i="1"/>
  <c r="L12" i="1"/>
  <c r="L13" i="1"/>
  <c r="L2" i="1"/>
  <c r="M3" i="1"/>
  <c r="M4" i="1"/>
  <c r="M5" i="1"/>
  <c r="M6" i="1"/>
  <c r="M7" i="1"/>
  <c r="M8" i="1"/>
  <c r="M9" i="1"/>
  <c r="M10" i="1"/>
  <c r="M11" i="1"/>
  <c r="M12" i="1"/>
  <c r="M13" i="1"/>
  <c r="M2" i="1"/>
  <c r="I3" i="1"/>
  <c r="J3" i="1" s="1"/>
  <c r="I4" i="1"/>
  <c r="J4" i="1" s="1"/>
  <c r="I5" i="1"/>
  <c r="J5" i="1" s="1"/>
  <c r="I6" i="1"/>
  <c r="J6" i="1" s="1"/>
  <c r="I7" i="1"/>
  <c r="J7" i="1" s="1"/>
  <c r="O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2" i="1"/>
  <c r="J2" i="1" s="1"/>
  <c r="N10" i="1" l="1"/>
  <c r="O10" i="1"/>
  <c r="N5" i="1"/>
  <c r="O5" i="1"/>
  <c r="N13" i="1"/>
  <c r="K13" i="1"/>
  <c r="O13" i="1"/>
  <c r="K9" i="1"/>
  <c r="O9" i="1"/>
  <c r="N9" i="1"/>
  <c r="O12" i="1"/>
  <c r="K12" i="1"/>
  <c r="N12" i="1"/>
  <c r="N8" i="1"/>
  <c r="K8" i="1"/>
  <c r="O8" i="1"/>
  <c r="N3" i="1"/>
  <c r="K3" i="1"/>
  <c r="O3" i="1"/>
  <c r="K2" i="1"/>
  <c r="O2" i="1"/>
  <c r="N2" i="1"/>
  <c r="K10" i="1"/>
  <c r="K5" i="1"/>
  <c r="N7" i="1"/>
  <c r="K7" i="1"/>
  <c r="N11" i="1"/>
  <c r="O11" i="1"/>
  <c r="K11" i="1"/>
  <c r="N4" i="1"/>
  <c r="O4" i="1"/>
  <c r="K4" i="1"/>
  <c r="K6" i="1"/>
  <c r="N6" i="1"/>
  <c r="O6" i="1"/>
</calcChain>
</file>

<file path=xl/sharedStrings.xml><?xml version="1.0" encoding="utf-8"?>
<sst xmlns="http://schemas.openxmlformats.org/spreadsheetml/2006/main" count="79" uniqueCount="60">
  <si>
    <t>Student_id</t>
  </si>
  <si>
    <t>Gender</t>
  </si>
  <si>
    <t>Class</t>
  </si>
  <si>
    <t>Maths</t>
  </si>
  <si>
    <t>Science</t>
  </si>
  <si>
    <t>English</t>
  </si>
  <si>
    <t>Attendance %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</si>
  <si>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</si>
  <si>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</si>
  <si>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</si>
  <si>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</si>
  <si>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</si>
  <si>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</si>
  <si>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</si>
  <si>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</si>
  <si>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</si>
  <si>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</si>
  <si>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</si>
  <si>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</si>
  <si>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Aarav</t>
  </si>
  <si>
    <t>Divya</t>
  </si>
  <si>
    <t>Karthik</t>
  </si>
  <si>
    <t>Meena</t>
  </si>
  <si>
    <t>Rahul</t>
  </si>
  <si>
    <t>Priya</t>
  </si>
  <si>
    <t>Arjun</t>
  </si>
  <si>
    <t>Sneha</t>
  </si>
  <si>
    <t>Vikram</t>
  </si>
  <si>
    <t>Anjali</t>
  </si>
  <si>
    <t>Manoj</t>
  </si>
  <si>
    <t xml:space="preserve">Pooja </t>
  </si>
  <si>
    <t>M</t>
  </si>
  <si>
    <t>F</t>
  </si>
  <si>
    <t>A</t>
  </si>
  <si>
    <t>B</t>
  </si>
  <si>
    <t>C</t>
  </si>
  <si>
    <t>Total</t>
  </si>
  <si>
    <t>Average Marks</t>
  </si>
  <si>
    <t>Rounded avg</t>
  </si>
  <si>
    <t>Max marks</t>
  </si>
  <si>
    <t>Min marks</t>
  </si>
  <si>
    <t>PASS/FAIL</t>
  </si>
  <si>
    <t>Grade</t>
  </si>
  <si>
    <t>First Name</t>
  </si>
  <si>
    <t>Last name</t>
  </si>
  <si>
    <t>Chaitanya</t>
  </si>
  <si>
    <t>Shree</t>
  </si>
  <si>
    <t>Raj</t>
  </si>
  <si>
    <t>Kumari</t>
  </si>
  <si>
    <t>Sharma</t>
  </si>
  <si>
    <t>Patel</t>
  </si>
  <si>
    <t>Singh</t>
  </si>
  <si>
    <t>Spandana</t>
  </si>
  <si>
    <t>Prabhu</t>
  </si>
  <si>
    <t>Nilohar</t>
  </si>
  <si>
    <t>R Krishna</t>
  </si>
  <si>
    <t>Milani</t>
  </si>
  <si>
    <t>Full name</t>
  </si>
  <si>
    <t>Uppercase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</si>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</sst>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4065-0638-4513-B580-F9A75B565401}">
  <dimension ref="A1:S13"/>
  <sheetViews>
    <sheetView tabSelected="1" workbookViewId="0">
      <selection activeCell="S2" sqref="S2:S13"/>
    </sheetView>
  </sheetViews>
  <sheetFormatPr defaultRowHeight="14.4" x14ac:dyDescent="0.3"/>
  <cols>
    <col min="4" max="4" width="8.88671875" customWidth="1"/>
  </cols>
  <sheetData>
    <row r="1" spans="1:19" x14ac:dyDescent="0.3">
      <c r="A1" t="s">
        <v>0</v>
      </c>
      <c r="B1" t="s">
        <v>43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36</v>
      </c>
      <c r="J1" t="s">
        <v>37</v>
      </c>
      <c r="K1" t="s">
        <v>38</v>
      </c>
      <c r="L1" t="s">
        <v>40</v>
      </c>
      <c r="M1" t="s">
        <v>39</v>
      </c>
      <c r="N1" t="s">
        <v>41</v>
      </c>
      <c r="O1" t="s">
        <v>42</v>
      </c>
      <c r="P1" t="s">
        <v>44</v>
      </c>
      <c r="Q1" t="s">
        <v>57</v>
      </c>
      <c r="R1" t="s">
        <v>58</v>
      </c>
      <c r="S1" t="s">
        <v>59</v>
      </c>
    </row>
    <row r="2" spans="1:19" x14ac:dyDescent="0.3">
      <c r="A2" t="s">
        <v>7</v>
      </c>
      <c r="B2" t="s">
        <v>19</v>
      </c>
      <c r="C2" t="s">
        <v>31</v>
      </c>
      <c r="D2" t="s">
        <v>33</v>
      </c>
      <c r="E2">
        <v>78</v>
      </c>
      <c r="F2">
        <v>85</v>
      </c>
      <c r="G2">
        <v>74</v>
      </c>
      <c r="H2">
        <v>92</v>
      </c>
      <c r="I2">
        <f>SUM(E2:G2)</f>
        <v>237</v>
      </c>
      <c r="J2">
        <f>INT(I2/3)</f>
        <v>79</v>
      </c>
      <c r="K2">
        <f>ROUND(J2,0)</f>
        <v>79</v>
      </c>
      <c r="L2">
        <f>MIN(E2:G2)</f>
        <v>74</v>
      </c>
      <c r="M2">
        <f>MAX(E2:G2)</f>
        <v>85</v>
      </c>
      <c r="N2" t="str">
        <f>IF(J2&gt;50,"Pass","Fail")</f>
        <v>Pass</v>
      </c>
      <c r="O2" t="str">
        <f>IF(J2&gt;=90,"A",IF(J2&gt;=75,"B",IF(J2&gt;=60,"C","D")))</f>
        <v>B</v>
      </c>
      <c r="P2" t="s">
        <v>45</v>
      </c>
      <c r="Q2" t="str">
        <f>CONCATENATE(B2," ",P2)</f>
        <v>Aarav Chaitanya</v>
      </c>
      <c r="R2" t="str">
        <f>UPPER(B2)</f>
        <v>AARAV</v>
      </c>
      <c r="S2" t="str">
        <f>PROPER(R2)</f>
        <v>Aarav</v>
      </c>
    </row>
    <row r="3" spans="1:19" x14ac:dyDescent="0.3">
      <c r="A3" t="s">
        <v>8</v>
      </c>
      <c r="B3" t="s">
        <v>20</v>
      </c>
      <c r="C3" t="s">
        <v>32</v>
      </c>
      <c r="D3" t="s">
        <v>33</v>
      </c>
      <c r="E3">
        <v>88</v>
      </c>
      <c r="F3">
        <v>90</v>
      </c>
      <c r="G3">
        <v>91</v>
      </c>
      <c r="H3">
        <v>95</v>
      </c>
      <c r="I3">
        <f>SUM(E3:G3)</f>
        <v>269</v>
      </c>
      <c r="J3">
        <f>I3/3</f>
        <v>89.666666666666671</v>
      </c>
      <c r="K3">
        <f>ROUND(J3,0)</f>
        <v>90</v>
      </c>
      <c r="L3">
        <f>MIN(E3:G3)</f>
        <v>88</v>
      </c>
      <c r="M3">
        <f>MAX(E3:G3)</f>
        <v>91</v>
      </c>
      <c r="N3" t="str">
        <f>IF(J3&gt;50,"Pass","Fail")</f>
        <v>Pass</v>
      </c>
      <c r="O3" t="str">
        <f>IF(J3&gt;=90,"A",IF(J3&gt;=75,"B",IF(J3&gt;=60,"C","D")))</f>
        <v>B</v>
      </c>
      <c r="P3" t="s">
        <v>46</v>
      </c>
      <c r="Q3" t="str">
        <f t="shared" ref="Q3:Q13" si="0">CONCATENATE(B3," ",P3)</f>
        <v>Divya Shree</v>
      </c>
      <c r="R3" t="str">
        <f t="shared" ref="R3:R13" si="1">UPPER(B3)</f>
        <v>DIVYA</v>
      </c>
      <c r="S3" t="str">
        <f t="shared" ref="S3:S13" si="2">PROPER(R3)</f>
        <v>Divya</v>
      </c>
    </row>
    <row r="4" spans="1:19" x14ac:dyDescent="0.3">
      <c r="A4" t="s">
        <v>9</v>
      </c>
      <c r="B4" t="s">
        <v>21</v>
      </c>
      <c r="C4" t="s">
        <v>31</v>
      </c>
      <c r="D4" t="s">
        <v>34</v>
      </c>
      <c r="E4">
        <v>65</v>
      </c>
      <c r="F4">
        <v>48</v>
      </c>
      <c r="G4">
        <v>68</v>
      </c>
      <c r="H4">
        <v>80</v>
      </c>
      <c r="I4">
        <f>SUM(E4:G4)</f>
        <v>181</v>
      </c>
      <c r="J4">
        <f>I4/3</f>
        <v>60.333333333333336</v>
      </c>
      <c r="K4">
        <f>ROUND(J4,0)</f>
        <v>60</v>
      </c>
      <c r="L4">
        <f>MIN(E4:G4)</f>
        <v>48</v>
      </c>
      <c r="M4">
        <f>MAX(E4:G4)</f>
        <v>68</v>
      </c>
      <c r="N4" t="str">
        <f>IF(J4&gt;50,"Pass","Fail")</f>
        <v>Pass</v>
      </c>
      <c r="O4" t="str">
        <f>IF(J4&gt;=90,"A",IF(J4&gt;=75,"B",IF(J4&gt;=60,"C","D")))</f>
        <v>C</v>
      </c>
      <c r="P4" t="s">
        <v>47</v>
      </c>
      <c r="Q4" t="str">
        <f t="shared" si="0"/>
        <v>Karthik Raj</v>
      </c>
      <c r="R4" t="str">
        <f t="shared" si="1"/>
        <v>KARTHIK</v>
      </c>
      <c r="S4" t="str">
        <f t="shared" si="2"/>
        <v>Karthik</v>
      </c>
    </row>
    <row r="5" spans="1:19" x14ac:dyDescent="0.3">
      <c r="A5" t="s">
        <v>10</v>
      </c>
      <c r="B5" t="s">
        <v>22</v>
      </c>
      <c r="C5" t="s">
        <v>32</v>
      </c>
      <c r="D5" t="s">
        <v>34</v>
      </c>
      <c r="E5">
        <v>92</v>
      </c>
      <c r="F5">
        <v>88</v>
      </c>
      <c r="G5">
        <v>94</v>
      </c>
      <c r="H5">
        <v>97</v>
      </c>
      <c r="I5">
        <f>SUM(E5:G5)</f>
        <v>274</v>
      </c>
      <c r="J5">
        <f>I5/3</f>
        <v>91.333333333333329</v>
      </c>
      <c r="K5">
        <f>ROUND(J5,0)</f>
        <v>91</v>
      </c>
      <c r="L5">
        <f>MIN(E5:G5)</f>
        <v>88</v>
      </c>
      <c r="M5">
        <f>MAX(E5:G5)</f>
        <v>94</v>
      </c>
      <c r="N5" t="str">
        <f>IF(J5&gt;50,"Pass","Fail")</f>
        <v>Pass</v>
      </c>
      <c r="O5" t="str">
        <f>IF(J5&gt;=90,"A",IF(J5&gt;=75,"B",IF(J5&gt;=60,"C","D")))</f>
        <v>A</v>
      </c>
      <c r="P5" t="s">
        <v>48</v>
      </c>
      <c r="Q5" t="str">
        <f t="shared" si="0"/>
        <v>Meena Kumari</v>
      </c>
      <c r="R5" t="str">
        <f t="shared" si="1"/>
        <v>MEENA</v>
      </c>
      <c r="S5" t="str">
        <f t="shared" si="2"/>
        <v>Meena</v>
      </c>
    </row>
    <row r="6" spans="1:19" x14ac:dyDescent="0.3">
      <c r="A6" t="s">
        <v>11</v>
      </c>
      <c r="B6" t="s">
        <v>23</v>
      </c>
      <c r="C6" t="s">
        <v>31</v>
      </c>
      <c r="D6" t="s">
        <v>33</v>
      </c>
      <c r="E6">
        <v>45</v>
      </c>
      <c r="F6">
        <v>60</v>
      </c>
      <c r="G6">
        <v>58</v>
      </c>
      <c r="H6">
        <v>72</v>
      </c>
      <c r="I6">
        <f>SUM(E6:G6)</f>
        <v>163</v>
      </c>
      <c r="J6">
        <f>I6/3</f>
        <v>54.333333333333336</v>
      </c>
      <c r="K6">
        <f>ROUND(J6,0)</f>
        <v>54</v>
      </c>
      <c r="L6">
        <f>MIN(E6:G6)</f>
        <v>45</v>
      </c>
      <c r="M6">
        <f>MAX(E6:G6)</f>
        <v>60</v>
      </c>
      <c r="N6" t="str">
        <f>IF(J6&gt;50,"Pass","Fail")</f>
        <v>Pass</v>
      </c>
      <c r="O6" t="str">
        <f>IF(J6&gt;=90,"A",IF(J6&gt;=75,"B",IF(J6&gt;=60,"C","D")))</f>
        <v>D</v>
      </c>
      <c r="P6" t="s">
        <v>49</v>
      </c>
      <c r="Q6" t="str">
        <f t="shared" si="0"/>
        <v>Rahul Sharma</v>
      </c>
      <c r="R6" t="str">
        <f t="shared" si="1"/>
        <v>RAHUL</v>
      </c>
      <c r="S6" t="str">
        <f t="shared" si="2"/>
        <v>Rahul</v>
      </c>
    </row>
    <row r="7" spans="1:19" x14ac:dyDescent="0.3">
      <c r="A7" t="s">
        <v>12</v>
      </c>
      <c r="B7" t="s">
        <v>24</v>
      </c>
      <c r="C7" t="s">
        <v>32</v>
      </c>
      <c r="D7" t="s">
        <v>35</v>
      </c>
      <c r="E7">
        <v>81</v>
      </c>
      <c r="F7">
        <v>79</v>
      </c>
      <c r="G7">
        <v>85</v>
      </c>
      <c r="H7">
        <v>90</v>
      </c>
      <c r="I7">
        <f>SUM(E7:G7)</f>
        <v>245</v>
      </c>
      <c r="J7">
        <f>I7/3</f>
        <v>81.666666666666671</v>
      </c>
      <c r="K7">
        <f>ROUND(J7,0)</f>
        <v>82</v>
      </c>
      <c r="L7">
        <f>MIN(E7:G7)</f>
        <v>79</v>
      </c>
      <c r="M7">
        <f>MAX(E7:G7)</f>
        <v>85</v>
      </c>
      <c r="N7" t="str">
        <f>IF(J7&gt;50,"Pass","Fail")</f>
        <v>Pass</v>
      </c>
      <c r="O7" t="str">
        <f>IF(J7&gt;=90,"A",IF(J7&gt;=75,"B",IF(J7&gt;=60,"C","D")))</f>
        <v>B</v>
      </c>
      <c r="P7" t="s">
        <v>50</v>
      </c>
      <c r="Q7" t="str">
        <f t="shared" si="0"/>
        <v>Priya Patel</v>
      </c>
      <c r="R7" t="str">
        <f t="shared" si="1"/>
        <v>PRIYA</v>
      </c>
      <c r="S7" t="str">
        <f t="shared" si="2"/>
        <v>Priya</v>
      </c>
    </row>
    <row r="8" spans="1:19" x14ac:dyDescent="0.3">
      <c r="A8" t="s">
        <v>13</v>
      </c>
      <c r="B8" t="s">
        <v>25</v>
      </c>
      <c r="C8" t="s">
        <v>31</v>
      </c>
      <c r="D8" t="s">
        <v>35</v>
      </c>
      <c r="E8">
        <v>45</v>
      </c>
      <c r="F8">
        <v>40</v>
      </c>
      <c r="G8">
        <v>59</v>
      </c>
      <c r="H8">
        <v>65</v>
      </c>
      <c r="I8">
        <f>SUM(E8:G8)</f>
        <v>144</v>
      </c>
      <c r="J8">
        <f>I8/3</f>
        <v>48</v>
      </c>
      <c r="K8">
        <f>ROUND(J8,0)</f>
        <v>48</v>
      </c>
      <c r="L8">
        <f>MIN(E8:G8)</f>
        <v>40</v>
      </c>
      <c r="M8">
        <f>MAX(E8:G8)</f>
        <v>59</v>
      </c>
      <c r="N8" t="str">
        <f>IF(J8&gt;50,"Pass","Fail")</f>
        <v>Fail</v>
      </c>
      <c r="O8" t="str">
        <f>IF(J8&gt;=90,"A",IF(J8&gt;=75,"B",IF(J8&gt;=60,"C","D")))</f>
        <v>D</v>
      </c>
      <c r="P8" t="s">
        <v>51</v>
      </c>
      <c r="Q8" t="str">
        <f t="shared" si="0"/>
        <v>Arjun Singh</v>
      </c>
      <c r="R8" t="str">
        <f t="shared" si="1"/>
        <v>ARJUN</v>
      </c>
      <c r="S8" t="str">
        <f t="shared" si="2"/>
        <v>Arjun</v>
      </c>
    </row>
    <row r="9" spans="1:19" x14ac:dyDescent="0.3">
      <c r="A9" t="s">
        <v>14</v>
      </c>
      <c r="B9" t="s">
        <v>26</v>
      </c>
      <c r="C9" t="s">
        <v>32</v>
      </c>
      <c r="D9" t="s">
        <v>34</v>
      </c>
      <c r="E9">
        <v>73</v>
      </c>
      <c r="F9">
        <v>76</v>
      </c>
      <c r="G9">
        <v>65</v>
      </c>
      <c r="H9">
        <v>88</v>
      </c>
      <c r="I9">
        <f>SUM(E9:G9)</f>
        <v>214</v>
      </c>
      <c r="J9">
        <f>I9/3</f>
        <v>71.333333333333329</v>
      </c>
      <c r="K9">
        <f>ROUND(J9,0)</f>
        <v>71</v>
      </c>
      <c r="L9">
        <f>MIN(E9:G9)</f>
        <v>65</v>
      </c>
      <c r="M9">
        <f>MAX(E9:G9)</f>
        <v>76</v>
      </c>
      <c r="N9" t="str">
        <f>IF(J9&gt;50,"Pass","Fail")</f>
        <v>Pass</v>
      </c>
      <c r="O9" t="str">
        <f>IF(J9&gt;=90,"A",IF(J9&gt;=75,"B",IF(J9&gt;=60,"C","D")))</f>
        <v>C</v>
      </c>
      <c r="P9" t="s">
        <v>52</v>
      </c>
      <c r="Q9" t="str">
        <f t="shared" si="0"/>
        <v>Sneha Spandana</v>
      </c>
      <c r="R9" t="str">
        <f t="shared" si="1"/>
        <v>SNEHA</v>
      </c>
      <c r="S9" t="str">
        <f t="shared" si="2"/>
        <v>Sneha</v>
      </c>
    </row>
    <row r="10" spans="1:19" x14ac:dyDescent="0.3">
      <c r="A10" t="s">
        <v>15</v>
      </c>
      <c r="B10" t="s">
        <v>27</v>
      </c>
      <c r="C10" t="s">
        <v>31</v>
      </c>
      <c r="D10" t="s">
        <v>33</v>
      </c>
      <c r="E10">
        <v>90</v>
      </c>
      <c r="F10">
        <v>92</v>
      </c>
      <c r="G10">
        <v>89</v>
      </c>
      <c r="H10">
        <v>96</v>
      </c>
      <c r="I10">
        <f>SUM(E10:G10)</f>
        <v>271</v>
      </c>
      <c r="J10">
        <f>I10/3</f>
        <v>90.333333333333329</v>
      </c>
      <c r="K10">
        <f>ROUND(J10,0)</f>
        <v>90</v>
      </c>
      <c r="L10">
        <f>MIN(E10:G10)</f>
        <v>89</v>
      </c>
      <c r="M10">
        <f>MAX(E10:G10)</f>
        <v>92</v>
      </c>
      <c r="N10" t="str">
        <f>IF(J10&gt;50,"Pass","Fail")</f>
        <v>Pass</v>
      </c>
      <c r="O10" t="str">
        <f>IF(J10&gt;=90,"A",IF(J10&gt;=75,"B",IF(J10&gt;=60,"C","D")))</f>
        <v>A</v>
      </c>
      <c r="P10" t="s">
        <v>53</v>
      </c>
      <c r="Q10" t="str">
        <f t="shared" si="0"/>
        <v>Vikram Prabhu</v>
      </c>
      <c r="R10" t="str">
        <f t="shared" si="1"/>
        <v>VIKRAM</v>
      </c>
      <c r="S10" t="str">
        <f t="shared" si="2"/>
        <v>Vikram</v>
      </c>
    </row>
    <row r="11" spans="1:19" x14ac:dyDescent="0.3">
      <c r="A11" t="s">
        <v>16</v>
      </c>
      <c r="B11" t="s">
        <v>28</v>
      </c>
      <c r="C11" t="s">
        <v>32</v>
      </c>
      <c r="D11" t="s">
        <v>35</v>
      </c>
      <c r="E11">
        <v>67</v>
      </c>
      <c r="F11">
        <v>89</v>
      </c>
      <c r="G11">
        <v>36</v>
      </c>
      <c r="H11">
        <v>85</v>
      </c>
      <c r="I11">
        <f>SUM(E11:G11)</f>
        <v>192</v>
      </c>
      <c r="J11">
        <f>I11/3</f>
        <v>64</v>
      </c>
      <c r="K11">
        <f>ROUND(J11,0)</f>
        <v>64</v>
      </c>
      <c r="L11">
        <f>MIN(E11:G11)</f>
        <v>36</v>
      </c>
      <c r="M11">
        <f>MAX(E11:G11)</f>
        <v>89</v>
      </c>
      <c r="N11" t="str">
        <f>IF(J11&gt;50,"Pass","Fail")</f>
        <v>Pass</v>
      </c>
      <c r="O11" t="str">
        <f>IF(J11&gt;=90,"A",IF(J11&gt;=75,"B",IF(J11&gt;=60,"C","D")))</f>
        <v>C</v>
      </c>
      <c r="P11" t="s">
        <v>54</v>
      </c>
      <c r="Q11" t="str">
        <f t="shared" si="0"/>
        <v>Anjali Nilohar</v>
      </c>
      <c r="R11" t="str">
        <f t="shared" si="1"/>
        <v>ANJALI</v>
      </c>
      <c r="S11" t="str">
        <f t="shared" si="2"/>
        <v>Anjali</v>
      </c>
    </row>
    <row r="12" spans="1:19" x14ac:dyDescent="0.3">
      <c r="A12" t="s">
        <v>17</v>
      </c>
      <c r="B12" t="s">
        <v>29</v>
      </c>
      <c r="C12" t="s">
        <v>31</v>
      </c>
      <c r="D12" t="s">
        <v>33</v>
      </c>
      <c r="E12">
        <v>59</v>
      </c>
      <c r="F12">
        <v>62</v>
      </c>
      <c r="G12">
        <v>72</v>
      </c>
      <c r="H12">
        <v>78</v>
      </c>
      <c r="I12">
        <f>SUM(E12:G12)</f>
        <v>193</v>
      </c>
      <c r="J12">
        <f>I12/3</f>
        <v>64.333333333333329</v>
      </c>
      <c r="K12">
        <f>ROUND(J12,0)</f>
        <v>64</v>
      </c>
      <c r="L12">
        <f>MIN(E12:G12)</f>
        <v>59</v>
      </c>
      <c r="M12">
        <f>MAX(E12:G12)</f>
        <v>72</v>
      </c>
      <c r="N12" t="str">
        <f>IF(J12&gt;50,"Pass","Fail")</f>
        <v>Pass</v>
      </c>
      <c r="O12" t="str">
        <f>IF(J12&gt;=90,"A",IF(J12&gt;=75,"B",IF(J12&gt;=60,"C","D")))</f>
        <v>C</v>
      </c>
      <c r="P12" t="s">
        <v>55</v>
      </c>
      <c r="Q12" t="str">
        <f t="shared" si="0"/>
        <v>Manoj R Krishna</v>
      </c>
      <c r="R12" t="str">
        <f t="shared" si="1"/>
        <v>MANOJ</v>
      </c>
      <c r="S12" t="str">
        <f t="shared" si="2"/>
        <v>Manoj</v>
      </c>
    </row>
    <row r="13" spans="1:19" x14ac:dyDescent="0.3">
      <c r="A13" t="s">
        <v>18</v>
      </c>
      <c r="B13" t="s">
        <v>30</v>
      </c>
      <c r="C13" t="s">
        <v>32</v>
      </c>
      <c r="D13" t="s">
        <v>33</v>
      </c>
      <c r="E13">
        <v>84</v>
      </c>
      <c r="F13">
        <v>86</v>
      </c>
      <c r="G13">
        <v>88</v>
      </c>
      <c r="H13">
        <v>93</v>
      </c>
      <c r="I13">
        <f>SUM(E13:G13)</f>
        <v>258</v>
      </c>
      <c r="J13">
        <f>I13/3</f>
        <v>86</v>
      </c>
      <c r="K13">
        <f>ROUND(J13,0)</f>
        <v>86</v>
      </c>
      <c r="L13">
        <f>MIN(E13:G13)</f>
        <v>84</v>
      </c>
      <c r="M13">
        <f>MAX(E13:G13)</f>
        <v>88</v>
      </c>
      <c r="N13" t="str">
        <f>IF(J13&gt;50,"Pass","Fail")</f>
        <v>Pass</v>
      </c>
      <c r="O13" t="str">
        <f>IF(J13&gt;=90,"A",IF(J13&gt;=75,"B",IF(J13&gt;=60,"C","D")))</f>
        <v>B</v>
      </c>
      <c r="P13" t="s">
        <v>56</v>
      </c>
      <c r="Q13" t="str">
        <f t="shared" si="0"/>
        <v>Pooja  Milani</v>
      </c>
      <c r="R13" t="str">
        <f t="shared" si="1"/>
        <v xml:space="preserve">POOJA </v>
      </c>
      <c r="S13" t="str">
        <f t="shared" si="2"/>
        <v xml:space="preserve">Pooja </v>
      </c>
    </row>
  </sheetData>
  <phoneticPr fontId="1" type="noConversion"/>
  <conditionalFormatting sqref="E1:G13">
    <cfRule type="cellIs" dxfId="4" priority="3" operator="lessThan">
      <formula>50</formula>
    </cfRule>
  </conditionalFormatting>
  <conditionalFormatting sqref="H1">
    <cfRule type="cellIs" dxfId="3" priority="2" operator="lessThan">
      <formula>75</formula>
    </cfRule>
  </conditionalFormatting>
  <conditionalFormatting sqref="H1:H13">
    <cfRule type="cellIs" dxfId="0" priority="1" operator="lessThan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2026-01-19T13:14:45Z</dcterms:created>
  <dcterms:modified xsi:type="dcterms:W3CDTF">2026-01-20T15:41:15Z</dcterms:modified>
</cp:coreProperties>
</file>