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xcel\"/>
    </mc:Choice>
  </mc:AlternateContent>
  <xr:revisionPtr revIDLastSave="0" documentId="8_{5E0F8B12-9ACD-49ED-870E-AC338A40865E}" xr6:coauthVersionLast="47" xr6:coauthVersionMax="47" xr10:uidLastSave="{00000000-0000-0000-0000-000000000000}"/>
  <bookViews>
    <workbookView xWindow="-108" yWindow="-108" windowWidth="23256" windowHeight="13176" xr2:uid="{F7DED0EB-4B2D-4B9B-8392-13D82C4762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2" i="1"/>
  <c r="N3" i="1"/>
  <c r="N4" i="1"/>
  <c r="N5" i="1"/>
  <c r="N6" i="1"/>
  <c r="N7" i="1"/>
  <c r="N8" i="1"/>
  <c r="N9" i="1"/>
  <c r="N10" i="1"/>
  <c r="N2" i="1"/>
  <c r="M3" i="1"/>
  <c r="M4" i="1"/>
  <c r="M5" i="1"/>
  <c r="M6" i="1"/>
  <c r="M7" i="1"/>
  <c r="M8" i="1"/>
  <c r="M9" i="1"/>
  <c r="M10" i="1"/>
  <c r="M2" i="1"/>
  <c r="L3" i="1"/>
  <c r="L4" i="1"/>
  <c r="L5" i="1"/>
  <c r="L6" i="1"/>
  <c r="L7" i="1"/>
  <c r="L8" i="1"/>
  <c r="L9" i="1"/>
  <c r="L10" i="1"/>
  <c r="L2" i="1"/>
  <c r="K3" i="1"/>
  <c r="K4" i="1"/>
  <c r="K5" i="1"/>
  <c r="K6" i="1"/>
  <c r="K7" i="1"/>
  <c r="K8" i="1"/>
  <c r="K9" i="1"/>
  <c r="K10" i="1"/>
  <c r="K2" i="1"/>
  <c r="J3" i="1"/>
  <c r="J4" i="1"/>
  <c r="J5" i="1"/>
  <c r="J6" i="1"/>
  <c r="J7" i="1"/>
  <c r="J8" i="1"/>
  <c r="J9" i="1"/>
  <c r="J10" i="1"/>
  <c r="J2" i="1"/>
</calcChain>
</file>

<file path=xl/sharedStrings.xml><?xml version="1.0" encoding="utf-8"?>
<sst xmlns="http://schemas.openxmlformats.org/spreadsheetml/2006/main" count="63" uniqueCount="41">
  <si>
    <t>Student_ID</t>
  </si>
  <si>
    <t>Name</t>
  </si>
  <si>
    <t>Gender</t>
  </si>
  <si>
    <t>Class</t>
  </si>
  <si>
    <t>Math</t>
  </si>
  <si>
    <t>Science</t>
  </si>
  <si>
    <t>English</t>
  </si>
  <si>
    <t>Sports</t>
  </si>
  <si>
    <t>Email</t>
  </si>
  <si>
    <t>Male</t>
  </si>
  <si>
    <t>10A</t>
  </si>
  <si>
    <t>Yes</t>
  </si>
  <si>
    <t>arjun@gmail.com</t>
  </si>
  <si>
    <t>Female</t>
  </si>
  <si>
    <t>No</t>
  </si>
  <si>
    <t>10B</t>
  </si>
  <si>
    <t>ravi@gmail.com</t>
  </si>
  <si>
    <t>Priya</t>
  </si>
  <si>
    <t>priya@gmail.com</t>
  </si>
  <si>
    <t>karthik@gmail.com</t>
  </si>
  <si>
    <t>10C</t>
  </si>
  <si>
    <t>divya@gmail.com</t>
  </si>
  <si>
    <t>meena@gmail.com</t>
  </si>
  <si>
    <t>suresh@gmail.com</t>
  </si>
  <si>
    <t>Ananya</t>
  </si>
  <si>
    <t>ananya@gmail.com</t>
  </si>
  <si>
    <t>nigalya@gmail.com</t>
  </si>
  <si>
    <t>N/A</t>
  </si>
  <si>
    <t xml:space="preserve">  Arjun</t>
  </si>
  <si>
    <t xml:space="preserve">         Ravi</t>
  </si>
  <si>
    <t xml:space="preserve">          Karthik</t>
  </si>
  <si>
    <t xml:space="preserve">    Divya</t>
  </si>
  <si>
    <t xml:space="preserve">    Suresh</t>
  </si>
  <si>
    <t>TRIM()</t>
  </si>
  <si>
    <t xml:space="preserve">   Nigalya</t>
  </si>
  <si>
    <t xml:space="preserve">     Meena</t>
  </si>
  <si>
    <t>LEN()</t>
  </si>
  <si>
    <t>LEFT()</t>
  </si>
  <si>
    <t>RIGHT()</t>
  </si>
  <si>
    <t>MID()</t>
  </si>
  <si>
    <t>SUBSTITUTE()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</si>
</sst>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uresh@gmail.com" TargetMode="External"/><Relationship Id="rId3" Type="http://schemas.openxmlformats.org/officeDocument/2006/relationships/hyperlink" Target="mailto:ravi@gmail.com" TargetMode="External"/><Relationship Id="rId7" Type="http://schemas.openxmlformats.org/officeDocument/2006/relationships/hyperlink" Target="mailto:meena@gmail.com" TargetMode="External"/><Relationship Id="rId2" Type="http://schemas.openxmlformats.org/officeDocument/2006/relationships/hyperlink" Target="mailto:nigalya@gmail.com" TargetMode="External"/><Relationship Id="rId1" Type="http://schemas.openxmlformats.org/officeDocument/2006/relationships/hyperlink" Target="mailto:arjun@gmail.com" TargetMode="External"/><Relationship Id="rId6" Type="http://schemas.openxmlformats.org/officeDocument/2006/relationships/hyperlink" Target="mailto:divya@gmail.com" TargetMode="External"/><Relationship Id="rId5" Type="http://schemas.openxmlformats.org/officeDocument/2006/relationships/hyperlink" Target="mailto:karthik@gmail.com" TargetMode="External"/><Relationship Id="rId4" Type="http://schemas.openxmlformats.org/officeDocument/2006/relationships/hyperlink" Target="mailto:priya@gmail.com" TargetMode="External"/><Relationship Id="rId9" Type="http://schemas.openxmlformats.org/officeDocument/2006/relationships/hyperlink" Target="mailto:anan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1035B-8805-48E2-B39E-872E6072A2BC}">
  <dimension ref="A1:O10"/>
  <sheetViews>
    <sheetView tabSelected="1" workbookViewId="0">
      <selection activeCell="O14" sqref="O14"/>
    </sheetView>
  </sheetViews>
  <sheetFormatPr defaultRowHeight="14.4" x14ac:dyDescent="0.3"/>
  <sheetData>
    <row r="1" spans="1:1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33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</row>
    <row r="2" spans="1:15" ht="28.8" x14ac:dyDescent="0.3">
      <c r="A2" s="2">
        <v>101</v>
      </c>
      <c r="B2" s="2" t="s">
        <v>28</v>
      </c>
      <c r="C2" s="2" t="s">
        <v>9</v>
      </c>
      <c r="D2" s="2" t="s">
        <v>10</v>
      </c>
      <c r="E2" s="2">
        <v>78</v>
      </c>
      <c r="F2" s="2">
        <v>85</v>
      </c>
      <c r="G2" s="2">
        <v>65</v>
      </c>
      <c r="H2" s="2" t="s">
        <v>11</v>
      </c>
      <c r="I2" s="3" t="s">
        <v>12</v>
      </c>
      <c r="J2" t="str">
        <f>TRIM(B2)</f>
        <v>Arjun</v>
      </c>
      <c r="K2">
        <f>LEN(B2)</f>
        <v>7</v>
      </c>
      <c r="L2" t="str">
        <f>LEFT(B2,3)</f>
        <v xml:space="preserve">  A</v>
      </c>
      <c r="M2" t="str">
        <f>RIGHT(B2,2)</f>
        <v>un</v>
      </c>
      <c r="N2" t="str">
        <f>MID(D2,3,1)</f>
        <v>A</v>
      </c>
      <c r="O2" t="str">
        <f>SUBSTITUTE(H2,"Yes","Interested")</f>
        <v>Interested</v>
      </c>
    </row>
    <row r="3" spans="1:15" ht="43.2" x14ac:dyDescent="0.3">
      <c r="A3" s="2">
        <v>102</v>
      </c>
      <c r="B3" s="2" t="s">
        <v>34</v>
      </c>
      <c r="C3" s="2" t="s">
        <v>13</v>
      </c>
      <c r="D3" s="2" t="s">
        <v>10</v>
      </c>
      <c r="E3" s="2">
        <v>92</v>
      </c>
      <c r="F3" s="2">
        <v>88</v>
      </c>
      <c r="G3" s="2">
        <v>95</v>
      </c>
      <c r="H3" s="2" t="s">
        <v>14</v>
      </c>
      <c r="I3" s="3" t="s">
        <v>26</v>
      </c>
      <c r="J3" t="str">
        <f t="shared" ref="J3:J10" si="0">TRIM(B3)</f>
        <v>Nigalya</v>
      </c>
      <c r="K3">
        <f t="shared" ref="K3:K10" si="1">LEN(B3)</f>
        <v>10</v>
      </c>
      <c r="L3" t="str">
        <f t="shared" ref="L3:L10" si="2">LEFT(B3,3)</f>
        <v xml:space="preserve">   </v>
      </c>
      <c r="M3" t="str">
        <f t="shared" ref="M3:M10" si="3">RIGHT(B3,2)</f>
        <v>ya</v>
      </c>
      <c r="N3" t="str">
        <f t="shared" ref="N3:N10" si="4">MID(D3,3,1)</f>
        <v>A</v>
      </c>
      <c r="O3" t="str">
        <f t="shared" ref="O3:O10" si="5">SUBSTITUTE(H3,"Yes","Interested")</f>
        <v>No</v>
      </c>
    </row>
    <row r="4" spans="1:15" ht="28.8" x14ac:dyDescent="0.3">
      <c r="A4" s="2">
        <v>103</v>
      </c>
      <c r="B4" s="2" t="s">
        <v>29</v>
      </c>
      <c r="C4" s="2" t="s">
        <v>9</v>
      </c>
      <c r="D4" s="2" t="s">
        <v>15</v>
      </c>
      <c r="E4" s="2">
        <v>65</v>
      </c>
      <c r="F4" s="2">
        <v>70</v>
      </c>
      <c r="G4" s="2" t="s">
        <v>27</v>
      </c>
      <c r="H4" s="2" t="s">
        <v>11</v>
      </c>
      <c r="I4" s="3" t="s">
        <v>16</v>
      </c>
      <c r="J4" t="str">
        <f t="shared" si="0"/>
        <v>Ravi</v>
      </c>
      <c r="K4">
        <f t="shared" si="1"/>
        <v>13</v>
      </c>
      <c r="L4" t="str">
        <f t="shared" si="2"/>
        <v xml:space="preserve">   </v>
      </c>
      <c r="M4" t="str">
        <f t="shared" si="3"/>
        <v>vi</v>
      </c>
      <c r="N4" t="str">
        <f t="shared" si="4"/>
        <v>B</v>
      </c>
      <c r="O4" t="str">
        <f t="shared" si="5"/>
        <v>Interested</v>
      </c>
    </row>
    <row r="5" spans="1:15" ht="28.8" x14ac:dyDescent="0.3">
      <c r="A5" s="2">
        <v>104</v>
      </c>
      <c r="B5" s="2" t="s">
        <v>17</v>
      </c>
      <c r="C5" s="2" t="s">
        <v>13</v>
      </c>
      <c r="D5" s="2" t="s">
        <v>15</v>
      </c>
      <c r="E5" s="2" t="s">
        <v>27</v>
      </c>
      <c r="F5" s="2">
        <v>78</v>
      </c>
      <c r="G5" s="2">
        <v>80</v>
      </c>
      <c r="H5" s="2" t="s">
        <v>14</v>
      </c>
      <c r="I5" s="3" t="s">
        <v>18</v>
      </c>
      <c r="J5" t="str">
        <f t="shared" si="0"/>
        <v>Priya</v>
      </c>
      <c r="K5">
        <f t="shared" si="1"/>
        <v>5</v>
      </c>
      <c r="L5" t="str">
        <f t="shared" si="2"/>
        <v>Pri</v>
      </c>
      <c r="M5" t="str">
        <f t="shared" si="3"/>
        <v>ya</v>
      </c>
      <c r="N5" t="str">
        <f t="shared" si="4"/>
        <v>B</v>
      </c>
      <c r="O5" t="str">
        <f t="shared" si="5"/>
        <v>No</v>
      </c>
    </row>
    <row r="6" spans="1:15" ht="43.2" x14ac:dyDescent="0.3">
      <c r="A6" s="2">
        <v>105</v>
      </c>
      <c r="B6" s="2" t="s">
        <v>30</v>
      </c>
      <c r="C6" s="2" t="s">
        <v>9</v>
      </c>
      <c r="D6" s="2" t="s">
        <v>10</v>
      </c>
      <c r="E6" s="2">
        <v>50</v>
      </c>
      <c r="F6" s="2">
        <v>55</v>
      </c>
      <c r="G6" s="2">
        <v>65</v>
      </c>
      <c r="H6" s="2" t="s">
        <v>11</v>
      </c>
      <c r="I6" s="3" t="s">
        <v>19</v>
      </c>
      <c r="J6" t="str">
        <f t="shared" si="0"/>
        <v>Karthik</v>
      </c>
      <c r="K6">
        <f t="shared" si="1"/>
        <v>17</v>
      </c>
      <c r="L6" t="str">
        <f t="shared" si="2"/>
        <v xml:space="preserve">   </v>
      </c>
      <c r="M6" t="str">
        <f t="shared" si="3"/>
        <v>ik</v>
      </c>
      <c r="N6" t="str">
        <f t="shared" si="4"/>
        <v>A</v>
      </c>
      <c r="O6" t="str">
        <f t="shared" si="5"/>
        <v>Interested</v>
      </c>
    </row>
    <row r="7" spans="1:15" ht="28.8" x14ac:dyDescent="0.3">
      <c r="A7" s="2">
        <v>106</v>
      </c>
      <c r="B7" s="2" t="s">
        <v>31</v>
      </c>
      <c r="C7" s="2" t="s">
        <v>13</v>
      </c>
      <c r="D7" s="2" t="s">
        <v>20</v>
      </c>
      <c r="E7" s="2">
        <v>88</v>
      </c>
      <c r="F7" s="2">
        <v>92</v>
      </c>
      <c r="G7" s="2">
        <v>85</v>
      </c>
      <c r="H7" s="2" t="s">
        <v>14</v>
      </c>
      <c r="I7" s="3" t="s">
        <v>21</v>
      </c>
      <c r="J7" t="str">
        <f t="shared" si="0"/>
        <v>Divya</v>
      </c>
      <c r="K7">
        <f t="shared" si="1"/>
        <v>9</v>
      </c>
      <c r="L7" t="str">
        <f t="shared" si="2"/>
        <v xml:space="preserve">   </v>
      </c>
      <c r="M7" t="str">
        <f t="shared" si="3"/>
        <v>ya</v>
      </c>
      <c r="N7" t="str">
        <f t="shared" si="4"/>
        <v>C</v>
      </c>
      <c r="O7" t="str">
        <f t="shared" si="5"/>
        <v>No</v>
      </c>
    </row>
    <row r="8" spans="1:15" ht="43.2" x14ac:dyDescent="0.3">
      <c r="A8" s="2">
        <v>108</v>
      </c>
      <c r="B8" s="2" t="s">
        <v>35</v>
      </c>
      <c r="C8" s="2" t="s">
        <v>13</v>
      </c>
      <c r="D8" s="2" t="s">
        <v>27</v>
      </c>
      <c r="E8" s="2">
        <v>75</v>
      </c>
      <c r="F8" s="2">
        <v>80</v>
      </c>
      <c r="G8" s="2">
        <v>75</v>
      </c>
      <c r="H8" s="2" t="s">
        <v>11</v>
      </c>
      <c r="I8" s="3" t="s">
        <v>22</v>
      </c>
      <c r="J8" t="str">
        <f t="shared" si="0"/>
        <v>Meena</v>
      </c>
      <c r="K8">
        <f t="shared" si="1"/>
        <v>10</v>
      </c>
      <c r="L8" t="str">
        <f t="shared" si="2"/>
        <v xml:space="preserve">   </v>
      </c>
      <c r="M8" t="str">
        <f t="shared" si="3"/>
        <v>na</v>
      </c>
      <c r="N8" t="str">
        <f t="shared" si="4"/>
        <v>A</v>
      </c>
      <c r="O8" t="str">
        <f t="shared" si="5"/>
        <v>Interested</v>
      </c>
    </row>
    <row r="9" spans="1:15" ht="28.8" x14ac:dyDescent="0.3">
      <c r="A9" s="2">
        <v>109</v>
      </c>
      <c r="B9" s="2" t="s">
        <v>32</v>
      </c>
      <c r="C9" s="2" t="s">
        <v>9</v>
      </c>
      <c r="D9" s="2" t="s">
        <v>20</v>
      </c>
      <c r="E9" s="2">
        <v>45</v>
      </c>
      <c r="F9" s="2">
        <v>50</v>
      </c>
      <c r="G9" s="2">
        <v>55</v>
      </c>
      <c r="H9" s="2" t="s">
        <v>14</v>
      </c>
      <c r="I9" s="3" t="s">
        <v>23</v>
      </c>
      <c r="J9" t="str">
        <f t="shared" si="0"/>
        <v>Suresh</v>
      </c>
      <c r="K9">
        <f t="shared" si="1"/>
        <v>10</v>
      </c>
      <c r="L9" t="str">
        <f t="shared" si="2"/>
        <v xml:space="preserve">   </v>
      </c>
      <c r="M9" t="str">
        <f t="shared" si="3"/>
        <v>sh</v>
      </c>
      <c r="N9" t="str">
        <f t="shared" si="4"/>
        <v>C</v>
      </c>
      <c r="O9" t="str">
        <f t="shared" si="5"/>
        <v>No</v>
      </c>
    </row>
    <row r="10" spans="1:15" ht="43.2" x14ac:dyDescent="0.3">
      <c r="A10" s="2">
        <v>110</v>
      </c>
      <c r="B10" s="2" t="s">
        <v>24</v>
      </c>
      <c r="C10" s="2" t="s">
        <v>13</v>
      </c>
      <c r="D10" s="2" t="s">
        <v>10</v>
      </c>
      <c r="E10" s="2">
        <v>95</v>
      </c>
      <c r="F10" s="2" t="s">
        <v>27</v>
      </c>
      <c r="G10" s="2">
        <v>90</v>
      </c>
      <c r="H10" s="2" t="s">
        <v>11</v>
      </c>
      <c r="I10" s="3" t="s">
        <v>25</v>
      </c>
      <c r="J10" t="str">
        <f t="shared" si="0"/>
        <v>Ananya</v>
      </c>
      <c r="K10">
        <f t="shared" si="1"/>
        <v>6</v>
      </c>
      <c r="L10" t="str">
        <f t="shared" si="2"/>
        <v>Ana</v>
      </c>
      <c r="M10" t="str">
        <f t="shared" si="3"/>
        <v>ya</v>
      </c>
      <c r="N10" t="str">
        <f t="shared" si="4"/>
        <v>A</v>
      </c>
      <c r="O10" t="str">
        <f t="shared" si="5"/>
        <v>Interested</v>
      </c>
    </row>
  </sheetData>
  <dataValidations count="3">
    <dataValidation type="list" allowBlank="1" showInputMessage="1" showErrorMessage="1" sqref="C1:C11" xr:uid="{26E77004-605D-4145-9AAA-B327D560CA29}">
      <formula1>"Male,Female"</formula1>
    </dataValidation>
    <dataValidation type="custom" allowBlank="1" showInputMessage="1" showErrorMessage="1" sqref="I6:I11 I2:I4 J2:J10" xr:uid="{F3560345-5D50-4ABB-A52C-7D619AD47DEF}">
      <formula1>AND(ISNUMBER(FIND("@gmail.com", H1048570)), LEN(H1048570)-LEN(SUBSTITUTE(H1048570,"@",""))=1)</formula1>
    </dataValidation>
    <dataValidation type="custom" allowBlank="1" showInputMessage="1" showErrorMessage="1" sqref="I5" xr:uid="{2A5CAB84-9B94-450F-AFE2-CA788796A703}">
      <formula1>AND(ISNUMBER(FIND("@gmail.com", I2)), LEN(I2)-LEN(SUBSTITUTE(I2,"@",""))=1)</formula1>
    </dataValidation>
  </dataValidations>
  <hyperlinks>
    <hyperlink ref="I2" r:id="rId1" xr:uid="{7AFF885C-363A-408D-B6A0-7EA3897DCB23}"/>
    <hyperlink ref="I3" r:id="rId2" xr:uid="{C52E1CE6-2A12-416E-B1DB-B03B87312072}"/>
    <hyperlink ref="I4" r:id="rId3" xr:uid="{060789E5-BC1D-4FAE-88F2-D8B28AA5AF2E}"/>
    <hyperlink ref="I5" r:id="rId4" xr:uid="{CD60FF87-1725-4DFB-B7FA-572784539D99}"/>
    <hyperlink ref="I6" r:id="rId5" display="mailto:karthik@gmail.com" xr:uid="{FDBA4C12-E84B-440D-8D3E-0B0BEDE27B1F}"/>
    <hyperlink ref="I7" r:id="rId6" display="mailto:divya@gmail.com" xr:uid="{7062BC66-9BF0-4273-A911-02D989DB3E89}"/>
    <hyperlink ref="I8" r:id="rId7" display="mailto:meena@gmail.com" xr:uid="{65BDC330-97F0-47B7-9106-1BB15979BB7C}"/>
    <hyperlink ref="I9" r:id="rId8" display="mailto:suresh@gmail.com" xr:uid="{EE9E6C8E-7157-49C1-8BDE-56F2FD20D000}"/>
    <hyperlink ref="I10" r:id="rId9" display="mailto:ananya@gmail.com" xr:uid="{620CE15B-5DD4-49F2-88DE-153F9A078A7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Sridhar V</dc:creator>
  <cp:lastModifiedBy>Sridhar V</cp:lastModifiedBy>
  <dcterms:created xsi:type="dcterms:W3CDTF">2026-01-25T12:52:30Z</dcterms:created>
  <dcterms:modified xsi:type="dcterms:W3CDTF">2026-01-25T13:31:19Z</dcterms:modified>
</cp:coreProperties>
</file>