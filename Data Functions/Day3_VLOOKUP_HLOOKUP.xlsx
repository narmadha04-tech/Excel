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FD68B74E-4B91-4345-9D96-3F8AB6C2262E}" xr6:coauthVersionLast="47" xr6:coauthVersionMax="47" xr10:uidLastSave="{00000000-0000-0000-0000-000000000000}"/>
  <bookViews>
    <workbookView xWindow="-108" yWindow="-108" windowWidth="23256" windowHeight="13176" xr2:uid="{F7DED0EB-4B2D-4B9B-8392-13D82C476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J29" i="1"/>
  <c r="D29" i="1"/>
  <c r="E29" i="1"/>
  <c r="F29" i="1"/>
  <c r="G29" i="1"/>
  <c r="H29" i="1"/>
  <c r="I29" i="1"/>
  <c r="E28" i="1"/>
  <c r="J27" i="1"/>
  <c r="I27" i="1"/>
  <c r="H27" i="1"/>
  <c r="G27" i="1"/>
  <c r="F27" i="1"/>
  <c r="E27" i="1"/>
  <c r="D27" i="1"/>
  <c r="C27" i="1"/>
  <c r="B27" i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J28" i="1" s="1"/>
  <c r="I22" i="1"/>
  <c r="I28" i="1" s="1"/>
  <c r="H22" i="1"/>
  <c r="H28" i="1" s="1"/>
  <c r="G22" i="1"/>
  <c r="G28" i="1" s="1"/>
  <c r="F22" i="1"/>
  <c r="F28" i="1" s="1"/>
  <c r="E22" i="1"/>
  <c r="D22" i="1"/>
  <c r="D28" i="1" s="1"/>
  <c r="C22" i="1"/>
  <c r="C28" i="1" s="1"/>
  <c r="B22" i="1"/>
  <c r="B28" i="1" s="1"/>
  <c r="Q3" i="1"/>
  <c r="Q4" i="1"/>
  <c r="Q5" i="1"/>
  <c r="Q8" i="1"/>
  <c r="Q2" i="1"/>
  <c r="P3" i="1"/>
  <c r="P4" i="1"/>
  <c r="P5" i="1"/>
  <c r="Q6" i="1" s="1"/>
  <c r="P6" i="1"/>
  <c r="Q7" i="1" s="1"/>
  <c r="P7" i="1"/>
  <c r="P8" i="1"/>
  <c r="Q9" i="1" s="1"/>
  <c r="P9" i="1"/>
  <c r="Q10" i="1" s="1"/>
  <c r="P10" i="1"/>
  <c r="P2" i="1"/>
  <c r="O3" i="1"/>
  <c r="O4" i="1"/>
  <c r="O5" i="1"/>
  <c r="O6" i="1"/>
  <c r="O7" i="1"/>
  <c r="O8" i="1"/>
  <c r="O9" i="1"/>
  <c r="O10" i="1"/>
  <c r="O2" i="1"/>
  <c r="N3" i="1"/>
  <c r="N4" i="1"/>
  <c r="N5" i="1"/>
  <c r="N6" i="1"/>
  <c r="N7" i="1"/>
  <c r="N8" i="1"/>
  <c r="N9" i="1"/>
  <c r="N10" i="1"/>
  <c r="N2" i="1"/>
  <c r="M3" i="1"/>
  <c r="M4" i="1"/>
  <c r="M5" i="1"/>
  <c r="M6" i="1"/>
  <c r="M7" i="1"/>
  <c r="M8" i="1"/>
  <c r="M9" i="1"/>
  <c r="M10" i="1"/>
  <c r="M2" i="1"/>
  <c r="L3" i="1"/>
  <c r="L4" i="1"/>
  <c r="L5" i="1"/>
  <c r="L6" i="1"/>
  <c r="L7" i="1"/>
  <c r="L8" i="1"/>
  <c r="L9" i="1"/>
  <c r="L10" i="1"/>
  <c r="L2" i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</calcChain>
</file>

<file path=xl/sharedStrings.xml><?xml version="1.0" encoding="utf-8"?>
<sst xmlns="http://schemas.openxmlformats.org/spreadsheetml/2006/main" count="130" uniqueCount="43">
  <si>
    <t>Student_ID</t>
  </si>
  <si>
    <t>Name</t>
  </si>
  <si>
    <t>Gender</t>
  </si>
  <si>
    <t>Class</t>
  </si>
  <si>
    <t>Math</t>
  </si>
  <si>
    <t>Science</t>
  </si>
  <si>
    <t>English</t>
  </si>
  <si>
    <t>Sports</t>
  </si>
  <si>
    <t>Email</t>
  </si>
  <si>
    <t>Male</t>
  </si>
  <si>
    <t>10A</t>
  </si>
  <si>
    <t>Yes</t>
  </si>
  <si>
    <t>arjun@gmail.com</t>
  </si>
  <si>
    <t>Female</t>
  </si>
  <si>
    <t>No</t>
  </si>
  <si>
    <t>10B</t>
  </si>
  <si>
    <t>ravi@gmail.com</t>
  </si>
  <si>
    <t>Priya</t>
  </si>
  <si>
    <t>priya@gmail.com</t>
  </si>
  <si>
    <t>karthik@gmail.com</t>
  </si>
  <si>
    <t>10C</t>
  </si>
  <si>
    <t>divya@gmail.com</t>
  </si>
  <si>
    <t>meena@gmail.com</t>
  </si>
  <si>
    <t>suresh@gmail.com</t>
  </si>
  <si>
    <t>Ananya</t>
  </si>
  <si>
    <t>ananya@gmail.com</t>
  </si>
  <si>
    <t>nigalya@gmail.com</t>
  </si>
  <si>
    <t>N/A</t>
  </si>
  <si>
    <t xml:space="preserve">  Arjun</t>
  </si>
  <si>
    <t xml:space="preserve">         Ravi</t>
  </si>
  <si>
    <t xml:space="preserve">          Karthik</t>
  </si>
  <si>
    <t xml:space="preserve">    Divya</t>
  </si>
  <si>
    <t xml:space="preserve">    Suresh</t>
  </si>
  <si>
    <t>TRIM()</t>
  </si>
  <si>
    <t xml:space="preserve">   Nigalya</t>
  </si>
  <si>
    <t xml:space="preserve">     Meena</t>
  </si>
  <si>
    <t>LEN()</t>
  </si>
  <si>
    <t>LEFT()</t>
  </si>
  <si>
    <t>RIGHT()</t>
  </si>
  <si>
    <t>MID()</t>
  </si>
  <si>
    <t>SUBSTITUTE()</t>
  </si>
  <si>
    <t>VLOOKUP()</t>
  </si>
  <si>
    <t>HLOOKUP()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</si>
</sst>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esh@gmail.com" TargetMode="External"/><Relationship Id="rId13" Type="http://schemas.openxmlformats.org/officeDocument/2006/relationships/hyperlink" Target="mailto:priya@gmail.com" TargetMode="External"/><Relationship Id="rId18" Type="http://schemas.openxmlformats.org/officeDocument/2006/relationships/hyperlink" Target="mailto:ananya@gmail.com" TargetMode="External"/><Relationship Id="rId3" Type="http://schemas.openxmlformats.org/officeDocument/2006/relationships/hyperlink" Target="mailto:ravi@gmail.com" TargetMode="External"/><Relationship Id="rId7" Type="http://schemas.openxmlformats.org/officeDocument/2006/relationships/hyperlink" Target="mailto:meena@gmail.com" TargetMode="External"/><Relationship Id="rId12" Type="http://schemas.openxmlformats.org/officeDocument/2006/relationships/hyperlink" Target="mailto:ravi@gmail.com" TargetMode="External"/><Relationship Id="rId17" Type="http://schemas.openxmlformats.org/officeDocument/2006/relationships/hyperlink" Target="mailto:suresh@gmail.com" TargetMode="External"/><Relationship Id="rId2" Type="http://schemas.openxmlformats.org/officeDocument/2006/relationships/hyperlink" Target="mailto:nigalya@gmail.com" TargetMode="External"/><Relationship Id="rId16" Type="http://schemas.openxmlformats.org/officeDocument/2006/relationships/hyperlink" Target="mailto:meena@gmail.com" TargetMode="External"/><Relationship Id="rId1" Type="http://schemas.openxmlformats.org/officeDocument/2006/relationships/hyperlink" Target="mailto:arjun@gmail.com" TargetMode="External"/><Relationship Id="rId6" Type="http://schemas.openxmlformats.org/officeDocument/2006/relationships/hyperlink" Target="mailto:divya@gmail.com" TargetMode="External"/><Relationship Id="rId11" Type="http://schemas.openxmlformats.org/officeDocument/2006/relationships/hyperlink" Target="mailto:nigalya@gmail.com" TargetMode="External"/><Relationship Id="rId5" Type="http://schemas.openxmlformats.org/officeDocument/2006/relationships/hyperlink" Target="mailto:karthik@gmail.com" TargetMode="External"/><Relationship Id="rId15" Type="http://schemas.openxmlformats.org/officeDocument/2006/relationships/hyperlink" Target="mailto:divya@gmail.com" TargetMode="External"/><Relationship Id="rId10" Type="http://schemas.openxmlformats.org/officeDocument/2006/relationships/hyperlink" Target="mailto:arjun@gmail.com" TargetMode="External"/><Relationship Id="rId4" Type="http://schemas.openxmlformats.org/officeDocument/2006/relationships/hyperlink" Target="mailto:priya@gmail.com" TargetMode="External"/><Relationship Id="rId9" Type="http://schemas.openxmlformats.org/officeDocument/2006/relationships/hyperlink" Target="mailto:ananya@gmail.com" TargetMode="External"/><Relationship Id="rId14" Type="http://schemas.openxmlformats.org/officeDocument/2006/relationships/hyperlink" Target="mailto:karth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035B-8805-48E2-B39E-872E6072A2BC}">
  <dimension ref="A1:Q29"/>
  <sheetViews>
    <sheetView tabSelected="1" topLeftCell="A11" workbookViewId="0">
      <selection activeCell="B30" sqref="B30"/>
    </sheetView>
  </sheetViews>
  <sheetFormatPr defaultRowHeight="14.4" x14ac:dyDescent="0.3"/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 ht="28.8" x14ac:dyDescent="0.3">
      <c r="A2" s="2">
        <v>101</v>
      </c>
      <c r="B2" s="2" t="s">
        <v>28</v>
      </c>
      <c r="C2" s="2" t="s">
        <v>9</v>
      </c>
      <c r="D2" s="2" t="s">
        <v>10</v>
      </c>
      <c r="E2" s="2">
        <v>78</v>
      </c>
      <c r="F2" s="2">
        <v>85</v>
      </c>
      <c r="G2" s="2">
        <v>65</v>
      </c>
      <c r="H2" s="2" t="s">
        <v>11</v>
      </c>
      <c r="I2" s="3" t="s">
        <v>12</v>
      </c>
      <c r="J2" t="str">
        <f>TRIM(B2)</f>
        <v>Arjun</v>
      </c>
      <c r="K2">
        <f>LEN(B2)</f>
        <v>7</v>
      </c>
      <c r="L2" t="str">
        <f>LEFT(B2,3)</f>
        <v xml:space="preserve">  A</v>
      </c>
      <c r="M2" t="str">
        <f>RIGHT(B2,2)</f>
        <v>un</v>
      </c>
      <c r="N2" t="str">
        <f>MID(D2,3,1)</f>
        <v>A</v>
      </c>
      <c r="O2" t="str">
        <f>SUBSTITUTE(H2,"Yes","Interested")</f>
        <v>Interested</v>
      </c>
      <c r="P2">
        <f>VLOOKUP(104,A2:O10,1,FALSE)</f>
        <v>104</v>
      </c>
      <c r="Q2" t="e">
        <f>HLOOKUP("Divya",A1:P10,7,FALSE)</f>
        <v>#N/A</v>
      </c>
    </row>
    <row r="3" spans="1:17" ht="43.2" x14ac:dyDescent="0.3">
      <c r="A3" s="2">
        <v>102</v>
      </c>
      <c r="B3" s="2" t="s">
        <v>34</v>
      </c>
      <c r="C3" s="2" t="s">
        <v>13</v>
      </c>
      <c r="D3" s="2" t="s">
        <v>10</v>
      </c>
      <c r="E3" s="2">
        <v>92</v>
      </c>
      <c r="F3" s="2">
        <v>88</v>
      </c>
      <c r="G3" s="2">
        <v>95</v>
      </c>
      <c r="H3" s="2" t="s">
        <v>14</v>
      </c>
      <c r="I3" s="3" t="s">
        <v>26</v>
      </c>
      <c r="J3" t="str">
        <f t="shared" ref="J3:J10" si="0">TRIM(B3)</f>
        <v>Nigalya</v>
      </c>
      <c r="K3">
        <f t="shared" ref="K3:K10" si="1">LEN(B3)</f>
        <v>10</v>
      </c>
      <c r="L3" t="str">
        <f t="shared" ref="L3:L10" si="2">LEFT(B3,3)</f>
        <v xml:space="preserve">   </v>
      </c>
      <c r="M3" t="str">
        <f t="shared" ref="M3:M10" si="3">RIGHT(B3,2)</f>
        <v>ya</v>
      </c>
      <c r="N3" t="str">
        <f t="shared" ref="N3:N10" si="4">MID(D3,3,1)</f>
        <v>A</v>
      </c>
      <c r="O3" t="str">
        <f t="shared" ref="O3:O10" si="5">SUBSTITUTE(H3,"Yes","Interested")</f>
        <v>No</v>
      </c>
      <c r="P3">
        <f t="shared" ref="P3:P10" si="6">VLOOKUP(104,A3:O11,1,FALSE)</f>
        <v>104</v>
      </c>
      <c r="Q3" t="e">
        <f t="shared" ref="Q3:Q10" si="7">HLOOKUP("Divya",A2:P11,7,FALSE)</f>
        <v>#N/A</v>
      </c>
    </row>
    <row r="4" spans="1:17" ht="28.8" x14ac:dyDescent="0.3">
      <c r="A4" s="2">
        <v>103</v>
      </c>
      <c r="B4" s="2" t="s">
        <v>29</v>
      </c>
      <c r="C4" s="2" t="s">
        <v>9</v>
      </c>
      <c r="D4" s="2" t="s">
        <v>15</v>
      </c>
      <c r="E4" s="2">
        <v>65</v>
      </c>
      <c r="F4" s="2">
        <v>70</v>
      </c>
      <c r="G4" s="2" t="s">
        <v>27</v>
      </c>
      <c r="H4" s="2" t="s">
        <v>11</v>
      </c>
      <c r="I4" s="3" t="s">
        <v>16</v>
      </c>
      <c r="J4" t="str">
        <f t="shared" si="0"/>
        <v>Ravi</v>
      </c>
      <c r="K4">
        <f t="shared" si="1"/>
        <v>13</v>
      </c>
      <c r="L4" t="str">
        <f t="shared" si="2"/>
        <v xml:space="preserve">   </v>
      </c>
      <c r="M4" t="str">
        <f t="shared" si="3"/>
        <v>vi</v>
      </c>
      <c r="N4" t="str">
        <f t="shared" si="4"/>
        <v>B</v>
      </c>
      <c r="O4" t="str">
        <f t="shared" si="5"/>
        <v>Interested</v>
      </c>
      <c r="P4">
        <f t="shared" si="6"/>
        <v>104</v>
      </c>
      <c r="Q4" t="e">
        <f t="shared" si="7"/>
        <v>#N/A</v>
      </c>
    </row>
    <row r="5" spans="1:17" ht="28.8" x14ac:dyDescent="0.3">
      <c r="A5" s="2">
        <v>104</v>
      </c>
      <c r="B5" s="2" t="s">
        <v>17</v>
      </c>
      <c r="C5" s="2" t="s">
        <v>13</v>
      </c>
      <c r="D5" s="2" t="s">
        <v>15</v>
      </c>
      <c r="E5" s="2" t="s">
        <v>27</v>
      </c>
      <c r="F5" s="2">
        <v>78</v>
      </c>
      <c r="G5" s="2">
        <v>80</v>
      </c>
      <c r="H5" s="2" t="s">
        <v>14</v>
      </c>
      <c r="I5" s="3" t="s">
        <v>18</v>
      </c>
      <c r="J5" t="str">
        <f t="shared" si="0"/>
        <v>Priya</v>
      </c>
      <c r="K5">
        <f t="shared" si="1"/>
        <v>5</v>
      </c>
      <c r="L5" t="str">
        <f t="shared" si="2"/>
        <v>Pri</v>
      </c>
      <c r="M5" t="str">
        <f t="shared" si="3"/>
        <v>ya</v>
      </c>
      <c r="N5" t="str">
        <f t="shared" si="4"/>
        <v>B</v>
      </c>
      <c r="O5" t="str">
        <f t="shared" si="5"/>
        <v>No</v>
      </c>
      <c r="P5">
        <f t="shared" si="6"/>
        <v>104</v>
      </c>
      <c r="Q5" t="e">
        <f t="shared" si="7"/>
        <v>#N/A</v>
      </c>
    </row>
    <row r="6" spans="1:17" ht="43.2" x14ac:dyDescent="0.3">
      <c r="A6" s="2">
        <v>105</v>
      </c>
      <c r="B6" s="2" t="s">
        <v>30</v>
      </c>
      <c r="C6" s="2" t="s">
        <v>9</v>
      </c>
      <c r="D6" s="2" t="s">
        <v>10</v>
      </c>
      <c r="E6" s="2">
        <v>50</v>
      </c>
      <c r="F6" s="2">
        <v>55</v>
      </c>
      <c r="G6" s="2">
        <v>65</v>
      </c>
      <c r="H6" s="2" t="s">
        <v>11</v>
      </c>
      <c r="I6" s="3" t="s">
        <v>19</v>
      </c>
      <c r="J6" t="str">
        <f t="shared" si="0"/>
        <v>Karthik</v>
      </c>
      <c r="K6">
        <f t="shared" si="1"/>
        <v>17</v>
      </c>
      <c r="L6" t="str">
        <f t="shared" si="2"/>
        <v xml:space="preserve">   </v>
      </c>
      <c r="M6" t="str">
        <f t="shared" si="3"/>
        <v>ik</v>
      </c>
      <c r="N6" t="str">
        <f t="shared" si="4"/>
        <v>A</v>
      </c>
      <c r="O6" t="str">
        <f t="shared" si="5"/>
        <v>Interested</v>
      </c>
      <c r="P6" t="e">
        <f t="shared" si="6"/>
        <v>#N/A</v>
      </c>
      <c r="Q6" t="e">
        <f t="shared" si="7"/>
        <v>#N/A</v>
      </c>
    </row>
    <row r="7" spans="1:17" ht="28.8" x14ac:dyDescent="0.3">
      <c r="A7" s="2">
        <v>106</v>
      </c>
      <c r="B7" s="2" t="s">
        <v>31</v>
      </c>
      <c r="C7" s="2" t="s">
        <v>13</v>
      </c>
      <c r="D7" s="2" t="s">
        <v>20</v>
      </c>
      <c r="E7" s="2">
        <v>88</v>
      </c>
      <c r="F7" s="2">
        <v>92</v>
      </c>
      <c r="G7" s="2">
        <v>85</v>
      </c>
      <c r="H7" s="2" t="s">
        <v>14</v>
      </c>
      <c r="I7" s="3" t="s">
        <v>21</v>
      </c>
      <c r="J7" t="str">
        <f t="shared" si="0"/>
        <v>Divya</v>
      </c>
      <c r="K7">
        <f t="shared" si="1"/>
        <v>9</v>
      </c>
      <c r="L7" t="str">
        <f t="shared" si="2"/>
        <v xml:space="preserve">   </v>
      </c>
      <c r="M7" t="str">
        <f t="shared" si="3"/>
        <v>ya</v>
      </c>
      <c r="N7" t="str">
        <f t="shared" si="4"/>
        <v>C</v>
      </c>
      <c r="O7" t="str">
        <f t="shared" si="5"/>
        <v>No</v>
      </c>
      <c r="P7" t="e">
        <f t="shared" si="6"/>
        <v>#N/A</v>
      </c>
      <c r="Q7" t="e">
        <f t="shared" si="7"/>
        <v>#N/A</v>
      </c>
    </row>
    <row r="8" spans="1:17" ht="43.2" x14ac:dyDescent="0.3">
      <c r="A8" s="2">
        <v>108</v>
      </c>
      <c r="B8" s="2" t="s">
        <v>35</v>
      </c>
      <c r="C8" s="2" t="s">
        <v>13</v>
      </c>
      <c r="D8" s="2" t="s">
        <v>27</v>
      </c>
      <c r="E8" s="2">
        <v>75</v>
      </c>
      <c r="F8" s="2">
        <v>80</v>
      </c>
      <c r="G8" s="2">
        <v>75</v>
      </c>
      <c r="H8" s="2" t="s">
        <v>11</v>
      </c>
      <c r="I8" s="3" t="s">
        <v>22</v>
      </c>
      <c r="J8" t="str">
        <f t="shared" si="0"/>
        <v>Meena</v>
      </c>
      <c r="K8">
        <f t="shared" si="1"/>
        <v>10</v>
      </c>
      <c r="L8" t="str">
        <f t="shared" si="2"/>
        <v xml:space="preserve">   </v>
      </c>
      <c r="M8" t="str">
        <f t="shared" si="3"/>
        <v>na</v>
      </c>
      <c r="N8" t="str">
        <f t="shared" si="4"/>
        <v>A</v>
      </c>
      <c r="O8" t="str">
        <f t="shared" si="5"/>
        <v>Interested</v>
      </c>
      <c r="P8" t="e">
        <f t="shared" si="6"/>
        <v>#N/A</v>
      </c>
      <c r="Q8">
        <f t="shared" si="7"/>
        <v>110</v>
      </c>
    </row>
    <row r="9" spans="1:17" ht="28.8" x14ac:dyDescent="0.3">
      <c r="A9" s="2">
        <v>109</v>
      </c>
      <c r="B9" s="2" t="s">
        <v>32</v>
      </c>
      <c r="C9" s="2" t="s">
        <v>9</v>
      </c>
      <c r="D9" s="2" t="s">
        <v>20</v>
      </c>
      <c r="E9" s="2">
        <v>45</v>
      </c>
      <c r="F9" s="2">
        <v>50</v>
      </c>
      <c r="G9" s="2">
        <v>55</v>
      </c>
      <c r="H9" s="2" t="s">
        <v>14</v>
      </c>
      <c r="I9" s="3" t="s">
        <v>23</v>
      </c>
      <c r="J9" t="str">
        <f t="shared" si="0"/>
        <v>Suresh</v>
      </c>
      <c r="K9">
        <f t="shared" si="1"/>
        <v>10</v>
      </c>
      <c r="L9" t="str">
        <f t="shared" si="2"/>
        <v xml:space="preserve">   </v>
      </c>
      <c r="M9" t="str">
        <f t="shared" si="3"/>
        <v>sh</v>
      </c>
      <c r="N9" t="str">
        <f t="shared" si="4"/>
        <v>C</v>
      </c>
      <c r="O9" t="str">
        <f t="shared" si="5"/>
        <v>No</v>
      </c>
      <c r="P9" t="e">
        <f t="shared" si="6"/>
        <v>#N/A</v>
      </c>
      <c r="Q9" t="e">
        <f t="shared" si="7"/>
        <v>#N/A</v>
      </c>
    </row>
    <row r="10" spans="1:17" ht="43.2" x14ac:dyDescent="0.3">
      <c r="A10" s="2">
        <v>110</v>
      </c>
      <c r="B10" s="2" t="s">
        <v>24</v>
      </c>
      <c r="C10" s="2" t="s">
        <v>13</v>
      </c>
      <c r="D10" s="2" t="s">
        <v>10</v>
      </c>
      <c r="E10" s="2">
        <v>95</v>
      </c>
      <c r="F10" s="2" t="s">
        <v>27</v>
      </c>
      <c r="G10" s="2">
        <v>90</v>
      </c>
      <c r="H10" s="2" t="s">
        <v>11</v>
      </c>
      <c r="I10" s="3" t="s">
        <v>25</v>
      </c>
      <c r="J10" t="str">
        <f t="shared" si="0"/>
        <v>Ananya</v>
      </c>
      <c r="K10">
        <f t="shared" si="1"/>
        <v>6</v>
      </c>
      <c r="L10" t="str">
        <f t="shared" si="2"/>
        <v>Ana</v>
      </c>
      <c r="M10" t="str">
        <f t="shared" si="3"/>
        <v>ya</v>
      </c>
      <c r="N10" t="str">
        <f t="shared" si="4"/>
        <v>A</v>
      </c>
      <c r="O10" t="str">
        <f t="shared" si="5"/>
        <v>Interested</v>
      </c>
      <c r="P10" t="e">
        <f t="shared" si="6"/>
        <v>#N/A</v>
      </c>
      <c r="Q10" t="e">
        <f t="shared" si="7"/>
        <v>#N/A</v>
      </c>
    </row>
    <row r="13" spans="1:17" ht="28.8" x14ac:dyDescent="0.3">
      <c r="A13" s="1" t="s">
        <v>0</v>
      </c>
      <c r="B13" s="2">
        <v>101</v>
      </c>
      <c r="C13" s="2">
        <v>102</v>
      </c>
      <c r="D13" s="2">
        <v>103</v>
      </c>
      <c r="E13" s="2">
        <v>104</v>
      </c>
      <c r="F13" s="2">
        <v>105</v>
      </c>
      <c r="G13" s="2">
        <v>106</v>
      </c>
      <c r="H13" s="2">
        <v>108</v>
      </c>
      <c r="I13" s="2">
        <v>109</v>
      </c>
      <c r="J13" s="2">
        <v>110</v>
      </c>
    </row>
    <row r="14" spans="1:17" ht="28.8" x14ac:dyDescent="0.3">
      <c r="A14" s="1" t="s">
        <v>1</v>
      </c>
      <c r="B14" s="2" t="s">
        <v>28</v>
      </c>
      <c r="C14" s="2" t="s">
        <v>34</v>
      </c>
      <c r="D14" s="2" t="s">
        <v>29</v>
      </c>
      <c r="E14" s="2" t="s">
        <v>17</v>
      </c>
      <c r="F14" s="2" t="s">
        <v>30</v>
      </c>
      <c r="G14" s="2" t="s">
        <v>31</v>
      </c>
      <c r="H14" s="2" t="s">
        <v>35</v>
      </c>
      <c r="I14" s="2" t="s">
        <v>32</v>
      </c>
      <c r="J14" s="2" t="s">
        <v>24</v>
      </c>
    </row>
    <row r="15" spans="1:17" x14ac:dyDescent="0.3">
      <c r="A15" s="1" t="s">
        <v>2</v>
      </c>
      <c r="B15" s="2" t="s">
        <v>9</v>
      </c>
      <c r="C15" s="2" t="s">
        <v>13</v>
      </c>
      <c r="D15" s="2" t="s">
        <v>9</v>
      </c>
      <c r="E15" s="2" t="s">
        <v>13</v>
      </c>
      <c r="F15" s="2" t="s">
        <v>9</v>
      </c>
      <c r="G15" s="2" t="s">
        <v>13</v>
      </c>
      <c r="H15" s="2" t="s">
        <v>13</v>
      </c>
      <c r="I15" s="2" t="s">
        <v>9</v>
      </c>
      <c r="J15" s="2" t="s">
        <v>13</v>
      </c>
    </row>
    <row r="16" spans="1:17" x14ac:dyDescent="0.3">
      <c r="A16" s="1" t="s">
        <v>3</v>
      </c>
      <c r="B16" s="2" t="s">
        <v>10</v>
      </c>
      <c r="C16" s="2" t="s">
        <v>10</v>
      </c>
      <c r="D16" s="2" t="s">
        <v>15</v>
      </c>
      <c r="E16" s="2" t="s">
        <v>15</v>
      </c>
      <c r="F16" s="2" t="s">
        <v>10</v>
      </c>
      <c r="G16" s="2" t="s">
        <v>20</v>
      </c>
      <c r="H16" s="2" t="s">
        <v>27</v>
      </c>
      <c r="I16" s="2" t="s">
        <v>20</v>
      </c>
      <c r="J16" s="2" t="s">
        <v>10</v>
      </c>
    </row>
    <row r="17" spans="1:10" x14ac:dyDescent="0.3">
      <c r="A17" s="1" t="s">
        <v>4</v>
      </c>
      <c r="B17" s="2">
        <v>78</v>
      </c>
      <c r="C17" s="2">
        <v>92</v>
      </c>
      <c r="D17" s="2">
        <v>65</v>
      </c>
      <c r="E17" s="2" t="s">
        <v>27</v>
      </c>
      <c r="F17" s="2">
        <v>50</v>
      </c>
      <c r="G17" s="2">
        <v>88</v>
      </c>
      <c r="H17" s="2">
        <v>75</v>
      </c>
      <c r="I17" s="2">
        <v>45</v>
      </c>
      <c r="J17" s="2">
        <v>95</v>
      </c>
    </row>
    <row r="18" spans="1:10" x14ac:dyDescent="0.3">
      <c r="A18" s="1" t="s">
        <v>5</v>
      </c>
      <c r="B18" s="2">
        <v>85</v>
      </c>
      <c r="C18" s="2">
        <v>88</v>
      </c>
      <c r="D18" s="2">
        <v>70</v>
      </c>
      <c r="E18" s="2">
        <v>78</v>
      </c>
      <c r="F18" s="2">
        <v>55</v>
      </c>
      <c r="G18" s="2">
        <v>92</v>
      </c>
      <c r="H18" s="2">
        <v>80</v>
      </c>
      <c r="I18" s="2">
        <v>50</v>
      </c>
      <c r="J18" s="2" t="s">
        <v>27</v>
      </c>
    </row>
    <row r="19" spans="1:10" x14ac:dyDescent="0.3">
      <c r="A19" s="1" t="s">
        <v>6</v>
      </c>
      <c r="B19" s="2">
        <v>65</v>
      </c>
      <c r="C19" s="2">
        <v>95</v>
      </c>
      <c r="D19" s="2" t="s">
        <v>27</v>
      </c>
      <c r="E19" s="2">
        <v>80</v>
      </c>
      <c r="F19" s="2">
        <v>65</v>
      </c>
      <c r="G19" s="2">
        <v>85</v>
      </c>
      <c r="H19" s="2">
        <v>75</v>
      </c>
      <c r="I19" s="2">
        <v>55</v>
      </c>
      <c r="J19" s="2">
        <v>90</v>
      </c>
    </row>
    <row r="20" spans="1:10" x14ac:dyDescent="0.3">
      <c r="A20" s="1" t="s">
        <v>7</v>
      </c>
      <c r="B20" s="2" t="s">
        <v>11</v>
      </c>
      <c r="C20" s="2" t="s">
        <v>14</v>
      </c>
      <c r="D20" s="2" t="s">
        <v>11</v>
      </c>
      <c r="E20" s="2" t="s">
        <v>14</v>
      </c>
      <c r="F20" s="2" t="s">
        <v>11</v>
      </c>
      <c r="G20" s="2" t="s">
        <v>14</v>
      </c>
      <c r="H20" s="2" t="s">
        <v>11</v>
      </c>
      <c r="I20" s="2" t="s">
        <v>14</v>
      </c>
      <c r="J20" s="2" t="s">
        <v>11</v>
      </c>
    </row>
    <row r="21" spans="1:10" ht="43.2" x14ac:dyDescent="0.3">
      <c r="A21" s="1" t="s">
        <v>8</v>
      </c>
      <c r="B21" s="3" t="s">
        <v>12</v>
      </c>
      <c r="C21" s="3" t="s">
        <v>26</v>
      </c>
      <c r="D21" s="3" t="s">
        <v>16</v>
      </c>
      <c r="E21" s="3" t="s">
        <v>18</v>
      </c>
      <c r="F21" s="3" t="s">
        <v>19</v>
      </c>
      <c r="G21" s="3" t="s">
        <v>21</v>
      </c>
      <c r="H21" s="3" t="s">
        <v>22</v>
      </c>
      <c r="I21" s="3" t="s">
        <v>23</v>
      </c>
      <c r="J21" s="3" t="s">
        <v>25</v>
      </c>
    </row>
    <row r="22" spans="1:10" x14ac:dyDescent="0.3">
      <c r="A22" s="1" t="s">
        <v>33</v>
      </c>
      <c r="B22" t="str">
        <f>TRIM(B14)</f>
        <v>Arjun</v>
      </c>
      <c r="C22" t="str">
        <f>TRIM(C14)</f>
        <v>Nigalya</v>
      </c>
      <c r="D22" t="str">
        <f>TRIM(D14)</f>
        <v>Ravi</v>
      </c>
      <c r="E22" t="str">
        <f>TRIM(E14)</f>
        <v>Priya</v>
      </c>
      <c r="F22" t="str">
        <f>TRIM(F14)</f>
        <v>Karthik</v>
      </c>
      <c r="G22" t="str">
        <f>TRIM(G14)</f>
        <v>Divya</v>
      </c>
      <c r="H22" t="str">
        <f>TRIM(H14)</f>
        <v>Meena</v>
      </c>
      <c r="I22" t="str">
        <f>TRIM(I14)</f>
        <v>Suresh</v>
      </c>
      <c r="J22" t="str">
        <f>TRIM(J14)</f>
        <v>Ananya</v>
      </c>
    </row>
    <row r="23" spans="1:10" x14ac:dyDescent="0.3">
      <c r="A23" s="1" t="s">
        <v>36</v>
      </c>
      <c r="B23">
        <f>LEN(B14)</f>
        <v>7</v>
      </c>
      <c r="C23">
        <f>LEN(C14)</f>
        <v>10</v>
      </c>
      <c r="D23">
        <f>LEN(D14)</f>
        <v>13</v>
      </c>
      <c r="E23">
        <f>LEN(E14)</f>
        <v>5</v>
      </c>
      <c r="F23">
        <f>LEN(F14)</f>
        <v>17</v>
      </c>
      <c r="G23">
        <f>LEN(G14)</f>
        <v>9</v>
      </c>
      <c r="H23">
        <f>LEN(H14)</f>
        <v>10</v>
      </c>
      <c r="I23">
        <f>LEN(I14)</f>
        <v>10</v>
      </c>
      <c r="J23">
        <f>LEN(J14)</f>
        <v>6</v>
      </c>
    </row>
    <row r="24" spans="1:10" x14ac:dyDescent="0.3">
      <c r="A24" s="1" t="s">
        <v>37</v>
      </c>
      <c r="B24" t="str">
        <f>LEFT(B14,3)</f>
        <v xml:space="preserve">  A</v>
      </c>
      <c r="C24" t="str">
        <f>LEFT(C14,3)</f>
        <v xml:space="preserve">   </v>
      </c>
      <c r="D24" t="str">
        <f>LEFT(D14,3)</f>
        <v xml:space="preserve">   </v>
      </c>
      <c r="E24" t="str">
        <f>LEFT(E14,3)</f>
        <v>Pri</v>
      </c>
      <c r="F24" t="str">
        <f>LEFT(F14,3)</f>
        <v xml:space="preserve">   </v>
      </c>
      <c r="G24" t="str">
        <f>LEFT(G14,3)</f>
        <v xml:space="preserve">   </v>
      </c>
      <c r="H24" t="str">
        <f>LEFT(H14,3)</f>
        <v xml:space="preserve">   </v>
      </c>
      <c r="I24" t="str">
        <f>LEFT(I14,3)</f>
        <v xml:space="preserve">   </v>
      </c>
      <c r="J24" t="str">
        <f>LEFT(J14,3)</f>
        <v>Ana</v>
      </c>
    </row>
    <row r="25" spans="1:10" x14ac:dyDescent="0.3">
      <c r="A25" s="1" t="s">
        <v>38</v>
      </c>
      <c r="B25" t="str">
        <f>RIGHT(B14,2)</f>
        <v>un</v>
      </c>
      <c r="C25" t="str">
        <f>RIGHT(C14,2)</f>
        <v>ya</v>
      </c>
      <c r="D25" t="str">
        <f>RIGHT(D14,2)</f>
        <v>vi</v>
      </c>
      <c r="E25" t="str">
        <f>RIGHT(E14,2)</f>
        <v>ya</v>
      </c>
      <c r="F25" t="str">
        <f>RIGHT(F14,2)</f>
        <v>ik</v>
      </c>
      <c r="G25" t="str">
        <f>RIGHT(G14,2)</f>
        <v>ya</v>
      </c>
      <c r="H25" t="str">
        <f>RIGHT(H14,2)</f>
        <v>na</v>
      </c>
      <c r="I25" t="str">
        <f>RIGHT(I14,2)</f>
        <v>sh</v>
      </c>
      <c r="J25" t="str">
        <f>RIGHT(J14,2)</f>
        <v>ya</v>
      </c>
    </row>
    <row r="26" spans="1:10" x14ac:dyDescent="0.3">
      <c r="A26" s="1" t="s">
        <v>39</v>
      </c>
      <c r="B26" t="str">
        <f>MID(B16,3,1)</f>
        <v>A</v>
      </c>
      <c r="C26" t="str">
        <f>MID(C16,3,1)</f>
        <v>A</v>
      </c>
      <c r="D26" t="str">
        <f>MID(D16,3,1)</f>
        <v>B</v>
      </c>
      <c r="E26" t="str">
        <f>MID(E16,3,1)</f>
        <v>B</v>
      </c>
      <c r="F26" t="str">
        <f>MID(F16,3,1)</f>
        <v>A</v>
      </c>
      <c r="G26" t="str">
        <f>MID(G16,3,1)</f>
        <v>C</v>
      </c>
      <c r="H26" t="str">
        <f>MID(H16,3,1)</f>
        <v>A</v>
      </c>
      <c r="I26" t="str">
        <f>MID(I16,3,1)</f>
        <v>C</v>
      </c>
      <c r="J26" t="str">
        <f>MID(J16,3,1)</f>
        <v>A</v>
      </c>
    </row>
    <row r="27" spans="1:10" ht="28.8" x14ac:dyDescent="0.3">
      <c r="A27" s="1" t="s">
        <v>40</v>
      </c>
      <c r="B27" t="str">
        <f>SUBSTITUTE(B20,"Yes","Interested")</f>
        <v>Interested</v>
      </c>
      <c r="C27" t="str">
        <f>SUBSTITUTE(C20,"Yes","Interested")</f>
        <v>No</v>
      </c>
      <c r="D27" t="str">
        <f>SUBSTITUTE(D20,"Yes","Interested")</f>
        <v>Interested</v>
      </c>
      <c r="E27" t="str">
        <f>SUBSTITUTE(E20,"Yes","Interested")</f>
        <v>No</v>
      </c>
      <c r="F27" t="str">
        <f>SUBSTITUTE(F20,"Yes","Interested")</f>
        <v>Interested</v>
      </c>
      <c r="G27" t="str">
        <f>SUBSTITUTE(G20,"Yes","Interested")</f>
        <v>No</v>
      </c>
      <c r="H27" t="str">
        <f>SUBSTITUTE(H20,"Yes","Interested")</f>
        <v>Interested</v>
      </c>
      <c r="I27" t="str">
        <f>SUBSTITUTE(I20,"Yes","Interested")</f>
        <v>No</v>
      </c>
      <c r="J27" t="str">
        <f>SUBSTITUTE(J20,"Yes","Interested")</f>
        <v>Interested</v>
      </c>
    </row>
    <row r="28" spans="1:10" ht="28.8" x14ac:dyDescent="0.3">
      <c r="A28" s="1" t="s">
        <v>41</v>
      </c>
      <c r="B28" t="e">
        <f>VLOOKUP(104,B13:J27,1,FALSE)</f>
        <v>#N/A</v>
      </c>
      <c r="C28" t="e">
        <f>VLOOKUP(104,C13:K27,1,FALSE)</f>
        <v>#N/A</v>
      </c>
      <c r="D28" t="e">
        <f>VLOOKUP(104,D13:L27,1,FALSE)</f>
        <v>#N/A</v>
      </c>
      <c r="E28">
        <f>VLOOKUP(104,E13:M27,1,FALSE)</f>
        <v>104</v>
      </c>
      <c r="F28" t="e">
        <f>VLOOKUP(104,F13:N27,1,FALSE)</f>
        <v>#N/A</v>
      </c>
      <c r="G28" t="e">
        <f>VLOOKUP(104,G13:O27,1,FALSE)</f>
        <v>#N/A</v>
      </c>
      <c r="H28" t="e">
        <f>VLOOKUP(104,H13:P27,1,FALSE)</f>
        <v>#N/A</v>
      </c>
      <c r="I28" t="e">
        <f>VLOOKUP(104,I13:Q27,1,FALSE)</f>
        <v>#N/A</v>
      </c>
      <c r="J28" t="e">
        <f>VLOOKUP(104,J13:R27,1,FALSE)</f>
        <v>#N/A</v>
      </c>
    </row>
    <row r="29" spans="1:10" ht="28.8" x14ac:dyDescent="0.3">
      <c r="A29" s="1" t="s">
        <v>42</v>
      </c>
      <c r="B29" t="e">
        <v>#N/A</v>
      </c>
      <c r="C29" t="e">
        <f>HLOOKUP("Nigalya", B14:J21,3,FALSE)</f>
        <v>#N/A</v>
      </c>
      <c r="D29" t="e">
        <f t="shared" ref="C29:J29" si="8">HLOOKUP("Arjun", D14:L21, 5, FALSE)</f>
        <v>#N/A</v>
      </c>
      <c r="E29" t="e">
        <f t="shared" si="8"/>
        <v>#N/A</v>
      </c>
      <c r="F29" t="e">
        <f t="shared" si="8"/>
        <v>#N/A</v>
      </c>
      <c r="G29" t="e">
        <f t="shared" si="8"/>
        <v>#N/A</v>
      </c>
      <c r="H29" t="e">
        <f t="shared" si="8"/>
        <v>#N/A</v>
      </c>
      <c r="I29" t="e">
        <f t="shared" si="8"/>
        <v>#N/A</v>
      </c>
      <c r="J29" t="str">
        <f>HLOOKUP("Ananya", B14:J21, 2, FALSE)</f>
        <v>Female</v>
      </c>
    </row>
  </sheetData>
  <dataValidations count="3">
    <dataValidation type="list" allowBlank="1" showInputMessage="1" showErrorMessage="1" sqref="C1:C11 A15:J15" xr:uid="{26E77004-605D-4145-9AAA-B327D560CA29}">
      <formula1>"Male,Female"</formula1>
    </dataValidation>
    <dataValidation type="custom" allowBlank="1" showInputMessage="1" showErrorMessage="1" sqref="I6:I11 I2:I4 J2:J10 F21:J21 B21:D21 B22:J22" xr:uid="{F3560345-5D50-4ABB-A52C-7D619AD47DEF}">
      <formula1>AND(ISNUMBER(FIND("@gmail.com", A1048570)), LEN(A1048570)-LEN(SUBSTITUTE(A1048570,"@",""))=1)</formula1>
    </dataValidation>
    <dataValidation type="custom" allowBlank="1" showInputMessage="1" showErrorMessage="1" sqref="I5 E21" xr:uid="{2A5CAB84-9B94-450F-AFE2-CA788796A703}">
      <formula1>AND(ISNUMBER(FIND("@gmail.com", E2)), LEN(E2)-LEN(SUBSTITUTE(E2,"@",""))=1)</formula1>
    </dataValidation>
  </dataValidations>
  <hyperlinks>
    <hyperlink ref="I2" r:id="rId1" xr:uid="{7AFF885C-363A-408D-B6A0-7EA3897DCB23}"/>
    <hyperlink ref="I3" r:id="rId2" xr:uid="{C52E1CE6-2A12-416E-B1DB-B03B87312072}"/>
    <hyperlink ref="I4" r:id="rId3" xr:uid="{060789E5-BC1D-4FAE-88F2-D8B28AA5AF2E}"/>
    <hyperlink ref="I5" r:id="rId4" xr:uid="{CD60FF87-1725-4DFB-B7FA-572784539D99}"/>
    <hyperlink ref="I6" r:id="rId5" display="mailto:karthik@gmail.com" xr:uid="{FDBA4C12-E84B-440D-8D3E-0B0BEDE27B1F}"/>
    <hyperlink ref="I7" r:id="rId6" display="mailto:divya@gmail.com" xr:uid="{7062BC66-9BF0-4273-A911-02D989DB3E89}"/>
    <hyperlink ref="I8" r:id="rId7" display="mailto:meena@gmail.com" xr:uid="{65BDC330-97F0-47B7-9106-1BB15979BB7C}"/>
    <hyperlink ref="I9" r:id="rId8" display="mailto:suresh@gmail.com" xr:uid="{EE9E6C8E-7157-49C1-8BDE-56F2FD20D000}"/>
    <hyperlink ref="I10" r:id="rId9" display="mailto:ananya@gmail.com" xr:uid="{620CE15B-5DD4-49F2-88DE-153F9A078A7C}"/>
    <hyperlink ref="B21" r:id="rId10" xr:uid="{B62F6D41-0591-4C81-BDCF-768DCB425807}"/>
    <hyperlink ref="C21" r:id="rId11" xr:uid="{9F55BA56-B178-4337-ABD2-1992BDA332C3}"/>
    <hyperlink ref="D21" r:id="rId12" xr:uid="{BFFABA18-715D-4ACB-82B1-FF06F5FF0FB5}"/>
    <hyperlink ref="E21" r:id="rId13" xr:uid="{34BBE1ED-38A8-416F-A52E-0230EB4F1F54}"/>
    <hyperlink ref="F21" r:id="rId14" display="mailto:karthik@gmail.com" xr:uid="{B593862E-7605-4B54-AF32-1F671E1A6F86}"/>
    <hyperlink ref="G21" r:id="rId15" display="mailto:divya@gmail.com" xr:uid="{9F7B70E1-4B9C-45E3-BFA1-924C8A1EC96A}"/>
    <hyperlink ref="H21" r:id="rId16" display="mailto:meena@gmail.com" xr:uid="{4444ECCD-6187-4666-816D-4A635D8AF9A6}"/>
    <hyperlink ref="I21" r:id="rId17" display="mailto:suresh@gmail.com" xr:uid="{6DFAC3D7-0891-4A2F-9909-31A609AFDC13}"/>
    <hyperlink ref="J21" r:id="rId18" display="mailto:ananya@gmail.com" xr:uid="{D3305A9B-B9B1-424F-8995-505E7046E7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2026-01-25T12:52:30Z</dcterms:created>
  <dcterms:modified xsi:type="dcterms:W3CDTF">2026-01-25T13:57:38Z</dcterms:modified>
</cp:coreProperties>
</file>