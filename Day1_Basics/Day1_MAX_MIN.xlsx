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\"/>
    </mc:Choice>
  </mc:AlternateContent>
  <xr:revisionPtr revIDLastSave="0" documentId="8_{66E59F2D-1254-4039-8924-1A0904B05BDC}" xr6:coauthVersionLast="47" xr6:coauthVersionMax="47" xr10:uidLastSave="{00000000-0000-0000-0000-000000000000}"/>
  <bookViews>
    <workbookView xWindow="-108" yWindow="-108" windowWidth="23256" windowHeight="13176" xr2:uid="{589EBCD1-707E-497B-A864-66EF074B5B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2" i="1"/>
  <c r="M3" i="1"/>
  <c r="M4" i="1"/>
  <c r="M5" i="1"/>
  <c r="M6" i="1"/>
  <c r="M7" i="1"/>
  <c r="M8" i="1"/>
  <c r="M9" i="1"/>
  <c r="M10" i="1"/>
  <c r="M11" i="1"/>
  <c r="M12" i="1"/>
  <c r="M13" i="1"/>
  <c r="M2" i="1"/>
  <c r="K3" i="1"/>
  <c r="K4" i="1"/>
  <c r="K5" i="1"/>
  <c r="K6" i="1"/>
  <c r="K7" i="1"/>
  <c r="K8" i="1"/>
  <c r="K9" i="1"/>
  <c r="K10" i="1"/>
  <c r="K11" i="1"/>
  <c r="K12" i="1"/>
  <c r="K13" i="1"/>
  <c r="K2" i="1"/>
  <c r="J3" i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</calcChain>
</file>

<file path=xl/sharedStrings.xml><?xml version="1.0" encoding="utf-8"?>
<sst xmlns="http://schemas.openxmlformats.org/spreadsheetml/2006/main" count="61" uniqueCount="42">
  <si>
    <t>Student_id</t>
  </si>
  <si>
    <t>Name</t>
  </si>
  <si>
    <t>Gender</t>
  </si>
  <si>
    <t>Class</t>
  </si>
  <si>
    <t>Maths</t>
  </si>
  <si>
    <t>Science</t>
  </si>
  <si>
    <t>English</t>
  </si>
  <si>
    <t>Attendance %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</si>
  <si>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</si>
  <si>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</si>
  <si>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</si>
  <si>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</si>
  <si>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</si>
  <si>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</si>
  <si>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</si>
  <si>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</si>
  <si>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</si>
  <si>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</si>
  <si>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</si>
  <si>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</si>
  <si>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Aarav</t>
  </si>
  <si>
    <t>Divya</t>
  </si>
  <si>
    <t>Karthik</t>
  </si>
  <si>
    <t>Meena</t>
  </si>
  <si>
    <t>Rahul</t>
  </si>
  <si>
    <t>Priya</t>
  </si>
  <si>
    <t>Arjun</t>
  </si>
  <si>
    <t>Sneha</t>
  </si>
  <si>
    <t>Vikram</t>
  </si>
  <si>
    <t>Anjali</t>
  </si>
  <si>
    <t>Manoj</t>
  </si>
  <si>
    <t xml:space="preserve">Pooja </t>
  </si>
  <si>
    <t>M</t>
  </si>
  <si>
    <t>F</t>
  </si>
  <si>
    <t>A</t>
  </si>
  <si>
    <t>B</t>
  </si>
  <si>
    <t>C</t>
  </si>
  <si>
    <t>Total</t>
  </si>
  <si>
    <t>Average Marks</t>
  </si>
  <si>
    <t>Rounded avg</t>
  </si>
  <si>
    <t>Max marks</t>
  </si>
  <si>
    <t>Min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</si>
</sst>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4065-0638-4513-B580-F9A75B565401}">
  <dimension ref="A1:M13"/>
  <sheetViews>
    <sheetView tabSelected="1" workbookViewId="0">
      <selection activeCell="N17" sqref="N1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37</v>
      </c>
      <c r="J1" t="s">
        <v>38</v>
      </c>
      <c r="K1" t="s">
        <v>39</v>
      </c>
      <c r="L1" t="s">
        <v>41</v>
      </c>
      <c r="M1" t="s">
        <v>40</v>
      </c>
    </row>
    <row r="2" spans="1:13" x14ac:dyDescent="0.3">
      <c r="A2" t="s">
        <v>8</v>
      </c>
      <c r="B2" t="s">
        <v>20</v>
      </c>
      <c r="C2" t="s">
        <v>32</v>
      </c>
      <c r="D2" t="s">
        <v>34</v>
      </c>
      <c r="E2">
        <v>78</v>
      </c>
      <c r="F2">
        <v>85</v>
      </c>
      <c r="G2">
        <v>74</v>
      </c>
      <c r="H2">
        <v>92</v>
      </c>
      <c r="I2">
        <f>SUM(E2:G2)</f>
        <v>237</v>
      </c>
      <c r="J2">
        <f>INT(I2/3)</f>
        <v>79</v>
      </c>
      <c r="K2">
        <f>ROUND(J2,0)</f>
        <v>79</v>
      </c>
      <c r="L2">
        <f>MIN(E2:G2)</f>
        <v>74</v>
      </c>
      <c r="M2">
        <f>MAX(E2:G2)</f>
        <v>85</v>
      </c>
    </row>
    <row r="3" spans="1:13" x14ac:dyDescent="0.3">
      <c r="A3" t="s">
        <v>9</v>
      </c>
      <c r="B3" t="s">
        <v>21</v>
      </c>
      <c r="C3" t="s">
        <v>33</v>
      </c>
      <c r="D3" t="s">
        <v>34</v>
      </c>
      <c r="E3">
        <v>88</v>
      </c>
      <c r="F3">
        <v>90</v>
      </c>
      <c r="G3">
        <v>91</v>
      </c>
      <c r="H3">
        <v>95</v>
      </c>
      <c r="I3">
        <f t="shared" ref="I3:I13" si="0">SUM(E3:G3)</f>
        <v>269</v>
      </c>
      <c r="J3">
        <f t="shared" ref="J3:J13" si="1">I3/3</f>
        <v>89.666666666666671</v>
      </c>
      <c r="K3">
        <f t="shared" ref="K3:K13" si="2">ROUND(J3,0)</f>
        <v>90</v>
      </c>
      <c r="L3">
        <f t="shared" ref="L3:L13" si="3">MIN(E3:G3)</f>
        <v>88</v>
      </c>
      <c r="M3">
        <f t="shared" ref="M3:M13" si="4">MAX(E3:G3)</f>
        <v>91</v>
      </c>
    </row>
    <row r="4" spans="1:13" x14ac:dyDescent="0.3">
      <c r="A4" t="s">
        <v>10</v>
      </c>
      <c r="B4" t="s">
        <v>22</v>
      </c>
      <c r="C4" t="s">
        <v>32</v>
      </c>
      <c r="D4" t="s">
        <v>35</v>
      </c>
      <c r="E4">
        <v>65</v>
      </c>
      <c r="F4">
        <v>70</v>
      </c>
      <c r="G4">
        <v>68</v>
      </c>
      <c r="H4">
        <v>80</v>
      </c>
      <c r="I4">
        <f t="shared" si="0"/>
        <v>203</v>
      </c>
      <c r="J4">
        <f t="shared" si="1"/>
        <v>67.666666666666671</v>
      </c>
      <c r="K4">
        <f t="shared" si="2"/>
        <v>68</v>
      </c>
      <c r="L4">
        <f t="shared" si="3"/>
        <v>65</v>
      </c>
      <c r="M4">
        <f t="shared" si="4"/>
        <v>70</v>
      </c>
    </row>
    <row r="5" spans="1:13" x14ac:dyDescent="0.3">
      <c r="A5" t="s">
        <v>11</v>
      </c>
      <c r="B5" t="s">
        <v>23</v>
      </c>
      <c r="C5" t="s">
        <v>33</v>
      </c>
      <c r="D5" t="s">
        <v>35</v>
      </c>
      <c r="E5">
        <v>92</v>
      </c>
      <c r="F5">
        <v>88</v>
      </c>
      <c r="G5">
        <v>94</v>
      </c>
      <c r="H5">
        <v>97</v>
      </c>
      <c r="I5">
        <f t="shared" si="0"/>
        <v>274</v>
      </c>
      <c r="J5">
        <f t="shared" si="1"/>
        <v>91.333333333333329</v>
      </c>
      <c r="K5">
        <f t="shared" si="2"/>
        <v>91</v>
      </c>
      <c r="L5">
        <f t="shared" si="3"/>
        <v>88</v>
      </c>
      <c r="M5">
        <f t="shared" si="4"/>
        <v>94</v>
      </c>
    </row>
    <row r="6" spans="1:13" x14ac:dyDescent="0.3">
      <c r="A6" t="s">
        <v>12</v>
      </c>
      <c r="B6" t="s">
        <v>24</v>
      </c>
      <c r="C6" t="s">
        <v>32</v>
      </c>
      <c r="D6" t="s">
        <v>34</v>
      </c>
      <c r="E6">
        <v>55</v>
      </c>
      <c r="F6">
        <v>60</v>
      </c>
      <c r="G6">
        <v>58</v>
      </c>
      <c r="H6">
        <v>72</v>
      </c>
      <c r="I6">
        <f t="shared" si="0"/>
        <v>173</v>
      </c>
      <c r="J6">
        <f t="shared" si="1"/>
        <v>57.666666666666664</v>
      </c>
      <c r="K6">
        <f t="shared" si="2"/>
        <v>58</v>
      </c>
      <c r="L6">
        <f t="shared" si="3"/>
        <v>55</v>
      </c>
      <c r="M6">
        <f t="shared" si="4"/>
        <v>60</v>
      </c>
    </row>
    <row r="7" spans="1:13" x14ac:dyDescent="0.3">
      <c r="A7" t="s">
        <v>13</v>
      </c>
      <c r="B7" t="s">
        <v>25</v>
      </c>
      <c r="C7" t="s">
        <v>33</v>
      </c>
      <c r="D7" t="s">
        <v>36</v>
      </c>
      <c r="E7">
        <v>81</v>
      </c>
      <c r="F7">
        <v>79</v>
      </c>
      <c r="G7">
        <v>85</v>
      </c>
      <c r="H7">
        <v>90</v>
      </c>
      <c r="I7">
        <f t="shared" si="0"/>
        <v>245</v>
      </c>
      <c r="J7">
        <f t="shared" si="1"/>
        <v>81.666666666666671</v>
      </c>
      <c r="K7">
        <f t="shared" si="2"/>
        <v>82</v>
      </c>
      <c r="L7">
        <f t="shared" si="3"/>
        <v>79</v>
      </c>
      <c r="M7">
        <f t="shared" si="4"/>
        <v>85</v>
      </c>
    </row>
    <row r="8" spans="1:13" x14ac:dyDescent="0.3">
      <c r="A8" t="s">
        <v>14</v>
      </c>
      <c r="B8" t="s">
        <v>26</v>
      </c>
      <c r="C8" t="s">
        <v>32</v>
      </c>
      <c r="D8" t="s">
        <v>36</v>
      </c>
      <c r="E8">
        <v>45</v>
      </c>
      <c r="F8">
        <v>40</v>
      </c>
      <c r="G8">
        <v>59</v>
      </c>
      <c r="H8">
        <v>65</v>
      </c>
      <c r="I8">
        <f t="shared" si="0"/>
        <v>144</v>
      </c>
      <c r="J8">
        <f t="shared" si="1"/>
        <v>48</v>
      </c>
      <c r="K8">
        <f t="shared" si="2"/>
        <v>48</v>
      </c>
      <c r="L8">
        <f t="shared" si="3"/>
        <v>40</v>
      </c>
      <c r="M8">
        <f t="shared" si="4"/>
        <v>59</v>
      </c>
    </row>
    <row r="9" spans="1:13" x14ac:dyDescent="0.3">
      <c r="A9" t="s">
        <v>15</v>
      </c>
      <c r="B9" t="s">
        <v>27</v>
      </c>
      <c r="C9" t="s">
        <v>33</v>
      </c>
      <c r="D9" t="s">
        <v>35</v>
      </c>
      <c r="E9">
        <v>73</v>
      </c>
      <c r="F9">
        <v>76</v>
      </c>
      <c r="G9">
        <v>65</v>
      </c>
      <c r="H9">
        <v>88</v>
      </c>
      <c r="I9">
        <f t="shared" si="0"/>
        <v>214</v>
      </c>
      <c r="J9">
        <f t="shared" si="1"/>
        <v>71.333333333333329</v>
      </c>
      <c r="K9">
        <f t="shared" si="2"/>
        <v>71</v>
      </c>
      <c r="L9">
        <f t="shared" si="3"/>
        <v>65</v>
      </c>
      <c r="M9">
        <f t="shared" si="4"/>
        <v>76</v>
      </c>
    </row>
    <row r="10" spans="1:13" x14ac:dyDescent="0.3">
      <c r="A10" t="s">
        <v>16</v>
      </c>
      <c r="B10" t="s">
        <v>28</v>
      </c>
      <c r="C10" t="s">
        <v>32</v>
      </c>
      <c r="D10" t="s">
        <v>34</v>
      </c>
      <c r="E10">
        <v>90</v>
      </c>
      <c r="F10">
        <v>92</v>
      </c>
      <c r="G10">
        <v>89</v>
      </c>
      <c r="H10">
        <v>96</v>
      </c>
      <c r="I10">
        <f t="shared" si="0"/>
        <v>271</v>
      </c>
      <c r="J10">
        <f t="shared" si="1"/>
        <v>90.333333333333329</v>
      </c>
      <c r="K10">
        <f t="shared" si="2"/>
        <v>90</v>
      </c>
      <c r="L10">
        <f t="shared" si="3"/>
        <v>89</v>
      </c>
      <c r="M10">
        <f t="shared" si="4"/>
        <v>92</v>
      </c>
    </row>
    <row r="11" spans="1:13" x14ac:dyDescent="0.3">
      <c r="A11" t="s">
        <v>17</v>
      </c>
      <c r="B11" t="s">
        <v>29</v>
      </c>
      <c r="C11" t="s">
        <v>33</v>
      </c>
      <c r="D11" t="s">
        <v>36</v>
      </c>
      <c r="E11">
        <v>67</v>
      </c>
      <c r="F11">
        <v>89</v>
      </c>
      <c r="G11">
        <v>72</v>
      </c>
      <c r="H11">
        <v>85</v>
      </c>
      <c r="I11">
        <f t="shared" si="0"/>
        <v>228</v>
      </c>
      <c r="J11">
        <f t="shared" si="1"/>
        <v>76</v>
      </c>
      <c r="K11">
        <f t="shared" si="2"/>
        <v>76</v>
      </c>
      <c r="L11">
        <f t="shared" si="3"/>
        <v>67</v>
      </c>
      <c r="M11">
        <f t="shared" si="4"/>
        <v>89</v>
      </c>
    </row>
    <row r="12" spans="1:13" x14ac:dyDescent="0.3">
      <c r="A12" t="s">
        <v>18</v>
      </c>
      <c r="B12" t="s">
        <v>30</v>
      </c>
      <c r="C12" t="s">
        <v>32</v>
      </c>
      <c r="D12" t="s">
        <v>34</v>
      </c>
      <c r="E12">
        <v>59</v>
      </c>
      <c r="F12">
        <v>62</v>
      </c>
      <c r="G12">
        <v>72</v>
      </c>
      <c r="H12">
        <v>78</v>
      </c>
      <c r="I12">
        <f t="shared" si="0"/>
        <v>193</v>
      </c>
      <c r="J12">
        <f t="shared" si="1"/>
        <v>64.333333333333329</v>
      </c>
      <c r="K12">
        <f t="shared" si="2"/>
        <v>64</v>
      </c>
      <c r="L12">
        <f t="shared" si="3"/>
        <v>59</v>
      </c>
      <c r="M12">
        <f t="shared" si="4"/>
        <v>72</v>
      </c>
    </row>
    <row r="13" spans="1:13" x14ac:dyDescent="0.3">
      <c r="A13" t="s">
        <v>19</v>
      </c>
      <c r="B13" t="s">
        <v>31</v>
      </c>
      <c r="C13" t="s">
        <v>33</v>
      </c>
      <c r="D13" t="s">
        <v>34</v>
      </c>
      <c r="E13">
        <v>84</v>
      </c>
      <c r="F13">
        <v>86</v>
      </c>
      <c r="G13">
        <v>88</v>
      </c>
      <c r="H13">
        <v>93</v>
      </c>
      <c r="I13">
        <f t="shared" si="0"/>
        <v>258</v>
      </c>
      <c r="J13">
        <f t="shared" si="1"/>
        <v>86</v>
      </c>
      <c r="K13">
        <f t="shared" si="2"/>
        <v>86</v>
      </c>
      <c r="L13">
        <f t="shared" si="3"/>
        <v>84</v>
      </c>
      <c r="M13">
        <f t="shared" si="4"/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V</dc:creator>
  <cp:lastModifiedBy>Sridhar V</cp:lastModifiedBy>
  <dcterms:created xsi:type="dcterms:W3CDTF">2026-01-19T13:14:45Z</dcterms:created>
  <dcterms:modified xsi:type="dcterms:W3CDTF">2026-01-19T13:37:46Z</dcterms:modified>
</cp:coreProperties>
</file>